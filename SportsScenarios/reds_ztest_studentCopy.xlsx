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ashapenwell/Downloads/Ohio University Stuff/AY 25-26/Summer 2026/week 5/EL/"/>
    </mc:Choice>
  </mc:AlternateContent>
  <xr:revisionPtr revIDLastSave="0" documentId="13_ncr:1_{5865E393-E172-9E4F-9245-5E7351534B0F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tart Here" sheetId="1" r:id="rId1"/>
    <sheet name="1. Attendance (Right)" sheetId="2" r:id="rId2"/>
    <sheet name="2. Game Time (Left)" sheetId="3" r:id="rId3"/>
    <sheet name="3. Ticket Price (Two)" sheetId="4" r:id="rId4"/>
    <sheet name="Reflect &amp; App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3" l="1"/>
  <c r="B19" i="3" s="1"/>
  <c r="B16" i="3"/>
  <c r="B30" i="2"/>
  <c r="B23" i="2"/>
  <c r="B25" i="2" s="1"/>
  <c r="B27" i="2" s="1"/>
  <c r="B17" i="2"/>
  <c r="B19" i="2" s="1"/>
  <c r="B35" i="2" s="1"/>
  <c r="B16" i="2"/>
  <c r="B37" i="2" l="1"/>
  <c r="B31" i="2"/>
  <c r="B32" i="2" s="1"/>
  <c r="B36" i="2"/>
  <c r="B45" i="2" l="1"/>
  <c r="B40" i="2"/>
  <c r="B44" i="2"/>
  <c r="B41" i="2"/>
  <c r="A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3" authorId="0" shapeId="0" xr:uid="{00000000-0006-0000-0200-000002000000}">
      <text>
        <r>
          <rPr>
            <sz val="10"/>
            <color rgb="FF000000"/>
            <rFont val="Arial"/>
            <family val="2"/>
          </rPr>
          <t>α for one tail, α/2 for two tails.</t>
        </r>
      </text>
    </comment>
    <comment ref="B24" authorId="0" shapeId="0" xr:uid="{00000000-0006-0000-0200-000003000000}">
      <text>
        <r>
          <rPr>
            <sz val="10"/>
            <color rgb="FF000000"/>
            <rFont val="Arial"/>
            <family val="2"/>
          </rPr>
          <t>=NORM.S.INV(B23)  (no “1−” on the left)</t>
        </r>
      </text>
    </comment>
    <comment ref="B26" authorId="0" shapeId="0" xr:uid="{00000000-0006-0000-0200-000004000000}">
      <text>
        <r>
          <rPr>
            <sz val="10"/>
            <rFont val="Arial"/>
            <family val="2"/>
          </rPr>
          <t>=B24*B19+B15</t>
        </r>
      </text>
    </comment>
    <comment ref="B30" authorId="0" shapeId="0" xr:uid="{00000000-0006-0000-0200-000005000000}">
      <text>
        <r>
          <rPr>
            <sz val="10"/>
            <rFont val="Arial"/>
            <family val="2"/>
          </rPr>
          <t>=B16</t>
        </r>
      </text>
    </comment>
    <comment ref="B31" authorId="0" shapeId="0" xr:uid="{00000000-0006-0000-0200-000006000000}">
      <text>
        <r>
          <rPr>
            <sz val="10"/>
            <rFont val="Arial"/>
            <family val="2"/>
          </rPr>
          <t>=(B30-B15)/B19</t>
        </r>
      </text>
    </comment>
    <comment ref="B32" authorId="0" shapeId="0" xr:uid="{00000000-0006-0000-0200-000007000000}">
      <text>
        <r>
          <rPr>
            <sz val="10"/>
            <rFont val="Arial"/>
            <family val="2"/>
          </rPr>
          <t>=NORM.S.DIST(z,TRUE)</t>
        </r>
      </text>
    </comment>
    <comment ref="B35" authorId="0" shapeId="0" xr:uid="{00000000-0006-0000-0200-000008000000}">
      <text>
        <r>
          <rPr>
            <sz val="10"/>
            <rFont val="Arial"/>
            <family val="2"/>
          </rPr>
          <t>MOE always uses α/2.  =NORM.S.INV(1-B20/2)*B19</t>
        </r>
      </text>
    </comment>
    <comment ref="B36" authorId="0" shapeId="0" xr:uid="{00000000-0006-0000-0200-000009000000}">
      <text>
        <r>
          <rPr>
            <sz val="10"/>
            <rFont val="Arial"/>
            <family val="2"/>
          </rPr>
          <t>=B30-B35</t>
        </r>
      </text>
    </comment>
    <comment ref="B37" authorId="0" shapeId="0" xr:uid="{00000000-0006-0000-0200-00000A000000}">
      <text>
        <r>
          <rPr>
            <sz val="10"/>
            <rFont val="Arial"/>
            <family val="2"/>
          </rPr>
          <t>=B30+B35</t>
        </r>
      </text>
    </comment>
    <comment ref="B40" authorId="0" shapeId="0" xr:uid="{00000000-0006-0000-0200-00000B000000}">
      <text>
        <r>
          <rPr>
            <sz val="10"/>
            <rFont val="Arial"/>
            <family val="2"/>
          </rPr>
          <t>Compare p to α (one tail) or α/2 (two tails).</t>
        </r>
      </text>
    </comment>
    <comment ref="B41" authorId="0" shapeId="0" xr:uid="{00000000-0006-0000-0200-00000C000000}">
      <text>
        <r>
          <rPr>
            <sz val="10"/>
            <rFont val="Arial"/>
            <family val="2"/>
          </rPr>
          <t>p LOW → reject;  p HIGH → fail to reject.</t>
        </r>
      </text>
    </comment>
    <comment ref="B44" authorId="0" shapeId="0" xr:uid="{00000000-0006-0000-0200-00000D000000}">
      <text>
        <r>
          <rPr>
            <sz val="10"/>
            <rFont val="Arial"/>
            <family val="2"/>
          </rPr>
          <t>Reject → use Hₐ;  fail → use H₀.</t>
        </r>
      </text>
    </comment>
    <comment ref="B45" authorId="0" shapeId="0" xr:uid="{00000000-0006-0000-0200-00000E000000}">
      <text>
        <r>
          <rPr>
            <sz val="10"/>
            <rFont val="Arial"/>
            <family val="2"/>
          </rPr>
          <t>State it in plain English.</t>
        </r>
      </text>
    </comment>
    <comment ref="A47" authorId="0" shapeId="0" xr:uid="{00000000-0006-0000-0200-000001000000}">
      <text>
        <r>
          <rPr>
            <sz val="10"/>
            <rFont val="Arial"/>
            <family val="2"/>
          </rPr>
          <t>Fill the blanks with your lower and upper bounds.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300-000002000000}">
      <text>
        <r>
          <rPr>
            <sz val="10"/>
            <rFont val="Arial"/>
            <family val="2"/>
          </rPr>
          <t>Given in the scenario. Just type the number.</t>
        </r>
      </text>
    </comment>
    <comment ref="B16" authorId="0" shapeId="0" xr:uid="{00000000-0006-0000-0300-000003000000}">
      <text>
        <r>
          <rPr>
            <sz val="10"/>
            <rFont val="Arial"/>
            <family val="2"/>
          </rPr>
          <t>Use =AVERAGE on the data column F.</t>
        </r>
      </text>
    </comment>
    <comment ref="B17" authorId="0" shapeId="0" xr:uid="{00000000-0006-0000-0300-000004000000}">
      <text>
        <r>
          <rPr>
            <sz val="10"/>
            <rFont val="Arial"/>
            <family val="2"/>
          </rPr>
          <t>Use =COUNT on the data column F.</t>
        </r>
      </text>
    </comment>
    <comment ref="B18" authorId="0" shapeId="0" xr:uid="{00000000-0006-0000-0300-000005000000}">
      <text>
        <r>
          <rPr>
            <sz val="10"/>
            <rFont val="Arial"/>
            <family val="2"/>
          </rPr>
          <t>Given in the scenario. Just type the number.</t>
        </r>
      </text>
    </comment>
    <comment ref="B19" authorId="0" shapeId="0" xr:uid="{00000000-0006-0000-0300-000006000000}">
      <text>
        <r>
          <rPr>
            <sz val="10"/>
            <rFont val="Arial"/>
            <family val="2"/>
          </rPr>
          <t>=B18/SQRT(B17)</t>
        </r>
      </text>
    </comment>
    <comment ref="B20" authorId="0" shapeId="0" xr:uid="{00000000-0006-0000-0300-000007000000}">
      <text>
        <r>
          <rPr>
            <sz val="10"/>
            <rFont val="Arial"/>
            <family val="2"/>
          </rPr>
          <t>Given in the scenario, as a percent.</t>
        </r>
      </text>
    </comment>
    <comment ref="B23" authorId="0" shapeId="0" xr:uid="{00000000-0006-0000-0300-000008000000}">
      <text>
        <r>
          <rPr>
            <sz val="10"/>
            <rFont val="Arial"/>
            <family val="2"/>
          </rPr>
          <t>α for one tail, α/2 for two tails.</t>
        </r>
      </text>
    </comment>
    <comment ref="B24" authorId="0" shapeId="0" xr:uid="{00000000-0006-0000-0300-000009000000}">
      <text>
        <r>
          <rPr>
            <sz val="10"/>
            <rFont val="Arial"/>
            <family val="2"/>
          </rPr>
          <t>=NORM.S.INV(B23)  (no “1−” on the left)</t>
        </r>
      </text>
    </comment>
    <comment ref="B25" authorId="0" shapeId="0" xr:uid="{00000000-0006-0000-0300-00000A000000}">
      <text>
        <r>
          <rPr>
            <sz val="10"/>
            <rFont val="Arial"/>
            <family val="2"/>
          </rPr>
          <t>=NORM.S.INV(1-B23)  (right tail uses 1−prob)</t>
        </r>
      </text>
    </comment>
    <comment ref="B26" authorId="0" shapeId="0" xr:uid="{00000000-0006-0000-0300-00000B000000}">
      <text>
        <r>
          <rPr>
            <sz val="10"/>
            <rFont val="Arial"/>
            <family val="2"/>
          </rPr>
          <t>=B24*B19+B15</t>
        </r>
      </text>
    </comment>
    <comment ref="B27" authorId="0" shapeId="0" xr:uid="{00000000-0006-0000-0300-00000C000000}">
      <text>
        <r>
          <rPr>
            <sz val="10"/>
            <rFont val="Arial"/>
            <family val="2"/>
          </rPr>
          <t>=B25*B19+B15</t>
        </r>
      </text>
    </comment>
    <comment ref="B30" authorId="0" shapeId="0" xr:uid="{00000000-0006-0000-0300-00000D000000}">
      <text>
        <r>
          <rPr>
            <sz val="10"/>
            <rFont val="Arial"/>
            <family val="2"/>
          </rPr>
          <t>=B16</t>
        </r>
      </text>
    </comment>
    <comment ref="B31" authorId="0" shapeId="0" xr:uid="{00000000-0006-0000-0300-00000E000000}">
      <text>
        <r>
          <rPr>
            <sz val="10"/>
            <rFont val="Arial"/>
            <family val="2"/>
          </rPr>
          <t>=(B30-B15)/B19</t>
        </r>
      </text>
    </comment>
    <comment ref="B32" authorId="0" shapeId="0" xr:uid="{00000000-0006-0000-0300-00000F000000}">
      <text>
        <r>
          <rPr>
            <sz val="10"/>
            <rFont val="Arial"/>
            <family val="2"/>
          </rPr>
          <t>z&gt;0 → right formula; z&lt;0 → left</t>
        </r>
      </text>
    </comment>
    <comment ref="B35" authorId="0" shapeId="0" xr:uid="{00000000-0006-0000-0300-000010000000}">
      <text>
        <r>
          <rPr>
            <sz val="10"/>
            <rFont val="Arial"/>
            <family val="2"/>
          </rPr>
          <t>MOE always uses α/2.  =NORM.S.INV(1-B20/2)*B19</t>
        </r>
      </text>
    </comment>
    <comment ref="B36" authorId="0" shapeId="0" xr:uid="{00000000-0006-0000-0300-000011000000}">
      <text>
        <r>
          <rPr>
            <sz val="10"/>
            <rFont val="Arial"/>
            <family val="2"/>
          </rPr>
          <t>=B30-B35</t>
        </r>
      </text>
    </comment>
    <comment ref="B37" authorId="0" shapeId="0" xr:uid="{00000000-0006-0000-0300-000012000000}">
      <text>
        <r>
          <rPr>
            <sz val="10"/>
            <rFont val="Arial"/>
            <family val="2"/>
          </rPr>
          <t>=B30+B35</t>
        </r>
      </text>
    </comment>
    <comment ref="B40" authorId="0" shapeId="0" xr:uid="{00000000-0006-0000-0300-000013000000}">
      <text>
        <r>
          <rPr>
            <sz val="10"/>
            <rFont val="Arial"/>
            <family val="2"/>
          </rPr>
          <t>Compare p to α (one tail) or α/2 (two tails).</t>
        </r>
      </text>
    </comment>
    <comment ref="B41" authorId="0" shapeId="0" xr:uid="{00000000-0006-0000-0300-000014000000}">
      <text>
        <r>
          <rPr>
            <sz val="10"/>
            <rFont val="Arial"/>
            <family val="2"/>
          </rPr>
          <t>p LOW → reject;  p HIGH → fail to reject.</t>
        </r>
      </text>
    </comment>
    <comment ref="B44" authorId="0" shapeId="0" xr:uid="{00000000-0006-0000-0300-000015000000}">
      <text>
        <r>
          <rPr>
            <sz val="10"/>
            <rFont val="Arial"/>
            <family val="2"/>
          </rPr>
          <t>Reject → use Hₐ;  fail → use H₀.</t>
        </r>
      </text>
    </comment>
    <comment ref="B45" authorId="0" shapeId="0" xr:uid="{00000000-0006-0000-0300-000016000000}">
      <text>
        <r>
          <rPr>
            <sz val="10"/>
            <rFont val="Arial"/>
            <family val="2"/>
          </rPr>
          <t>State it in plain English.</t>
        </r>
      </text>
    </comment>
    <comment ref="A47" authorId="0" shapeId="0" xr:uid="{00000000-0006-0000-0300-000001000000}">
      <text>
        <r>
          <rPr>
            <sz val="10"/>
            <rFont val="Arial"/>
            <family val="2"/>
          </rPr>
          <t>Fill the blanks with your lower and upper bounds.</t>
        </r>
      </text>
    </comment>
  </commentList>
</comments>
</file>

<file path=xl/sharedStrings.xml><?xml version="1.0" encoding="utf-8"?>
<sst xmlns="http://schemas.openxmlformats.org/spreadsheetml/2006/main" count="213" uniqueCount="130">
  <si>
    <t>CINCINNATI REDS — ONE-SAMPLE Z-TEST LAB</t>
  </si>
  <si>
    <t>Module 8 / Prep 8  ·  An experiential statistics exercise (Kolb learning cycle)</t>
  </si>
  <si>
    <t xml:space="preserve">  THE BIG PICTURE</t>
  </si>
  <si>
    <t>You work in the front office of the Cincinnati Reds. League (MLB) averages are public knowledge — those are your POPULATION figures. You've collected a SAMPLE of Reds data and need to know: is the Reds number REALLY different from the league, or is the gap just luck of the draw?
That question is exactly what a one-sample z-test answers. You use a z-test (not a t-test) because every scenario hands you the population standard deviation σ — that's your signal.</t>
  </si>
  <si>
    <t xml:space="preserve">  HOW YOU'LL LEARN IT — KOLB'S 4 STAGES</t>
  </si>
  <si>
    <t>①  CONCRETE EXPERIENCE</t>
  </si>
  <si>
    <t>Tab “1. Attendance” is fully built and live. Run it, change an input, watch every cell react. Get a feel for a complete z-test before theorizing.</t>
  </si>
  <si>
    <t>②  REFLECTIVE OBSERVATION</t>
  </si>
  <si>
    <t>Tab “2. Game Time” is half-built. You fill the blanks, then notice WHY this one lands on a different decision than Tab 1. Jot what you observe.</t>
  </si>
  <si>
    <t>③  ABSTRACT CONCEPTUALIZATION</t>
  </si>
  <si>
    <t>On “Reflect &amp; Apply,” put the rules in your own words: when 1−prob? what does p&lt;α mean? why is the CI always two-tailed? Turn the doing into principles.</t>
  </si>
  <si>
    <t>④  ACTIVE EXPERIMENTATION</t>
  </si>
  <si>
    <t>Tab “3. Ticket Price” is an empty skeleton. PREDICT the result first, then build the whole test yourself from your notes. Test your new understanding.</t>
  </si>
  <si>
    <t xml:space="preserve">  THE THREE TABS AT A GLANCE</t>
  </si>
  <si>
    <t>Tab 1 — Attendance</t>
  </si>
  <si>
    <t>Tab 2 — Game Time</t>
  </si>
  <si>
    <t>Tab 3 — Ticket Price</t>
  </si>
  <si>
    <t>Question</t>
  </si>
  <si>
    <t>Do Reds draw MORE fans than the MLB average?</t>
  </si>
  <si>
    <t>Do Reds games run SHORTER than the MLB average?</t>
  </si>
  <si>
    <t>Is the Reds ticket price DIFFERENT from the MLB average?</t>
  </si>
  <si>
    <t>Claim word</t>
  </si>
  <si>
    <t>higher / more</t>
  </si>
  <si>
    <t>lower / less</t>
  </si>
  <si>
    <t>different</t>
  </si>
  <si>
    <t>Tail</t>
  </si>
  <si>
    <t>Right-tailed</t>
  </si>
  <si>
    <t>Left-tailed</t>
  </si>
  <si>
    <t>Two-tailed</t>
  </si>
  <si>
    <t>Kolb stage</t>
  </si>
  <si>
    <t>① Experience (built for you)</t>
  </si>
  <si>
    <t>② / ③ Reflect (you complete)</t>
  </si>
  <si>
    <t>④ Experiment (you build)</t>
  </si>
  <si>
    <t>Colour key:   yellow cell = you fill it in     ·     blue text = given input you may change     ·     black text = a formula</t>
  </si>
  <si>
    <t xml:space="preserve">  TAB 1  —  REDS HOME ATTENDANCE   (right-tailed)   ·   Kolb ① Concrete Experience</t>
  </si>
  <si>
    <t>FULLY BUILT &amp; LIVE — explore it. Change a blue input and watch every cell update.</t>
  </si>
  <si>
    <t>SCENARIO  —  read it like a detective; mark μ₀, σ, n, α, and the claim word</t>
  </si>
  <si>
    <t>Game</t>
  </si>
  <si>
    <t>Fans</t>
  </si>
  <si>
    <t>The Reds front office believes home games at Great American Ball Park draw MORE fans than a typical MLB game. The league-wide average home attendance is μ₀ = 28,000 fans, with a known population standard deviation σ = 6,500. You pull a sample of n = 35 Reds home games (column F). Test the claim that Reds attendance is HIGHER than the MLB average at α = 5%.</t>
  </si>
  <si>
    <t>STEP 1  —  HYPOTHESES   (null is ALWAYS “=”; the claim word sets the tail)</t>
  </si>
  <si>
    <t>Null  H₀ :</t>
  </si>
  <si>
    <t>μ = 28,000   (Reds draw the same as the league)</t>
  </si>
  <si>
    <t>Alt   Hₐ :</t>
  </si>
  <si>
    <t>x̄ &gt; 28,000   (Reds draw MORE)</t>
  </si>
  <si>
    <t>Tail :</t>
  </si>
  <si>
    <t>RIGHT-tailed (claim word: “higher / more”)</t>
  </si>
  <si>
    <t>BLOCK 1  —  Comparison data</t>
  </si>
  <si>
    <t>Population mean  (μ₀)</t>
  </si>
  <si>
    <t>given in the scenario — type it</t>
  </si>
  <si>
    <t>Sample mean  (x̄)</t>
  </si>
  <si>
    <t xml:space="preserve"> =AVERAGE(F5:F39)</t>
  </si>
  <si>
    <t>Sample size  (n)</t>
  </si>
  <si>
    <t xml:space="preserve"> =COUNT(F5:F39)  — use COUNT even if n is given</t>
  </si>
  <si>
    <t>Population std dev  (σ)</t>
  </si>
  <si>
    <t>Standard error  (SE)</t>
  </si>
  <si>
    <t xml:space="preserve"> =σ/SQRT(n)  =B18/SQRT(B17)</t>
  </si>
  <si>
    <t>Significance level  (α)</t>
  </si>
  <si>
    <t>BLOCK 2  —  Critical cutoffs</t>
  </si>
  <si>
    <t>Probability  (prob)</t>
  </si>
  <si>
    <t>one tail → α   ·   two tails → α/2</t>
  </si>
  <si>
    <t>Left critical z</t>
  </si>
  <si>
    <t>—</t>
  </si>
  <si>
    <t>not used for a right tail</t>
  </si>
  <si>
    <t>Right critical z</t>
  </si>
  <si>
    <t xml:space="preserve"> =NORM.S.INV(1-prob)  =NORM.S.INV(1-B23)</t>
  </si>
  <si>
    <t>x̄ critical (low)</t>
  </si>
  <si>
    <t>x̄ critical (high)</t>
  </si>
  <si>
    <t xml:space="preserve"> =z×SE+μ₀  =B25*B19+B15</t>
  </si>
  <si>
    <t>BLOCK 3  —  Test statistic</t>
  </si>
  <si>
    <t xml:space="preserve"> = your Block 1 mean  =B16</t>
  </si>
  <si>
    <t>Test z-score</t>
  </si>
  <si>
    <t xml:space="preserve"> =(x̄−μ₀)/SE  =(B30-B15)/B19</t>
  </si>
  <si>
    <t>p-value</t>
  </si>
  <si>
    <t xml:space="preserve"> =1-NORM.S.DIST(z,TRUE)</t>
  </si>
  <si>
    <t>BLOCK 4  —  95% Confidence interval   (always two-tailed; independent of the test’s tail)</t>
  </si>
  <si>
    <t>Margin of error</t>
  </si>
  <si>
    <t xml:space="preserve"> =NORM.S.INV(1-α/2)×SE  =NORM.S.INV(1-B20/2)*B19</t>
  </si>
  <si>
    <t>Lower bound</t>
  </si>
  <si>
    <t xml:space="preserve"> =x̄−MOE  =B30-B35</t>
  </si>
  <si>
    <t>Upper bound</t>
  </si>
  <si>
    <t xml:space="preserve"> =x̄+MOE  =B30+B35</t>
  </si>
  <si>
    <t>STEP 2 / 3  —  DECISION &amp; CONCLUSION   (“if the p is low, the null must go”)</t>
  </si>
  <si>
    <t>Compare</t>
  </si>
  <si>
    <t>Decision</t>
  </si>
  <si>
    <t>Conclusion (symbols)</t>
  </si>
  <si>
    <t>Conclusion (words)</t>
  </si>
  <si>
    <t>CONFIDENCE-INTERVAL STATEMENT  (write it about the population the sample represents)</t>
  </si>
  <si>
    <t xml:space="preserve">  TAB 2  —  REDS GAME LENGTH   (left-tailed)   ·   Kolb ②③ Reflect &amp; Conceptualize</t>
  </si>
  <si>
    <t>HALF BUILT — Block 1 is done. You complete Blocks 2–4 and the decision, then notice how this one lands.</t>
  </si>
  <si>
    <t>Minutes</t>
  </si>
  <si>
    <t>Fans say Reds games move fast. The claim: a Reds game runs SHORTER (fewer minutes) than the MLB average. League average game time is μ₀ = 156 minutes, with population standard deviation σ = 18. You time a sample of n = 40 Reds games (column F, in minutes). Test the claim that Reds games are LESS than the MLB average at α = 5%.</t>
  </si>
  <si>
    <t>μ = 156   (Reds games are the same length)</t>
  </si>
  <si>
    <t>x̄ &lt; 156   (Reds games are SHORTER)</t>
  </si>
  <si>
    <t>LEFT-tailed (claim word: “lower / less”)</t>
  </si>
  <si>
    <t xml:space="preserve"> =AVERAGE(F5:F44)</t>
  </si>
  <si>
    <t xml:space="preserve"> =COUNT(F5:F44)  — use COUNT even if n is given</t>
  </si>
  <si>
    <t xml:space="preserve"> =NORM.S.INV(prob)  =NORM.S.INV(B23)</t>
  </si>
  <si>
    <t>not used for a left tail</t>
  </si>
  <si>
    <t xml:space="preserve"> =z×SE+μ₀  =B24*B19+B15</t>
  </si>
  <si>
    <t xml:space="preserve"> =NORM.S.DIST(z,TRUE)</t>
  </si>
  <si>
    <t xml:space="preserve">  TAB 3  —  REDS TICKET PRICE   (two-tailed)   ·   Kolb ④ Active Experimentation</t>
  </si>
  <si>
    <t>Ticket</t>
  </si>
  <si>
    <t>Price ($)</t>
  </si>
  <si>
    <t>Is a Reds ticket priced like the rest of the league — or is it DIFFERENT (could be higher OR lower)? The MLB average ticket price is μ₀ = $38.00, with population standard deviation σ = $9.50. You collect a sample of n = 45 Reds ticket prices (column F). Test whether the Reds price is DIFFERENT from the MLB average at α = 5%.</t>
  </si>
  <si>
    <t>μ = $38.00   (priced like the league)</t>
  </si>
  <si>
    <t>x̄ ≠ $38.00   (DIFFERENT — either way)</t>
  </si>
  <si>
    <t>TWO-tailed (claim word: “different”)</t>
  </si>
  <si>
    <t>REFLECT &amp; APPLY</t>
  </si>
  <si>
    <t>Turn what you did into what you know. Type your answers in the yellow cells.</t>
  </si>
  <si>
    <t xml:space="preserve">  ②  REFLECTIVE OBSERVATION  — what did you notice?</t>
  </si>
  <si>
    <t>Tab 1 (attendance) said REJECT; Tab 2 (game time) said FAIL TO REJECT. In Tab 2 the sample mean WAS below 156 — so why didn’t we conclude the games are shorter?</t>
  </si>
  <si>
    <t>How did the size of the test z-score relate to whether you rejected? What made Tab 1’s z “extreme” and Tab 2’s not?</t>
  </si>
  <si>
    <t>Did the p-value approach and the critical-value approach ever disagree on the same tab? Why would they always agree?</t>
  </si>
  <si>
    <t xml:space="preserve">  ③  ABSTRACT CONCEPTUALIZATION  — state the rule in your own words</t>
  </si>
  <si>
    <t>When does a right tail use “1 − prob” but a left tail does not? Explain in one sentence.</t>
  </si>
  <si>
    <t>For a two-tailed test, why do we compare the p-value to α/2 instead of α?</t>
  </si>
  <si>
    <t>Why is the confidence interval always two-tailed and independent of the test’s tail or α choice?</t>
  </si>
  <si>
    <t>Finish the rule: “Bigger sample size → ____ standard error → ____ z-score → ____ likely to reject.”</t>
  </si>
  <si>
    <t xml:space="preserve">  ④  ACTIVE EXPERIMENTATION  — push it further</t>
  </si>
  <si>
    <t>Suppose Tab 3 had used α = 1% instead of 5%. Would your decision change? Why or why not? (Try it on the tab.)</t>
  </si>
  <si>
    <t>Invent a fourth Reds scenario of your own (e.g., player batting average, hot-dog price, pitch velocity). State μ₀, σ, the claim, and which tail it needs.</t>
  </si>
  <si>
    <t>Your GM asks for a ONE-sentence takeaway from all three tests. Write it the way you’d say it in a meeting.</t>
  </si>
  <si>
    <t>EMPTY SKELETON — Build the WHOLE test yourself from your notes and Tab 1.</t>
  </si>
  <si>
    <t xml:space="preserve">Video for Tab 1 and 2: </t>
  </si>
  <si>
    <t xml:space="preserve">https://www.loom.com/share/cad9a236725a4147b8aa7ff61767dec5 </t>
  </si>
  <si>
    <t>Video for Tab 3</t>
  </si>
  <si>
    <t>https://www.loom.com/share/12b042344c3e446e8470b3017a2261a2</t>
  </si>
  <si>
    <t>No video for Tab 4.  This is for your personal reflection and application based on what you've learned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</si>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</sst>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0.000%"/>
    <numFmt numFmtId="167" formatCode="0.0"/>
    <numFmt numFmtId="168" formatCode="\$#,##0.00"/>
    <numFmt numFmtId="169" formatCode="0.0000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C6011F"/>
      <name val="Arial"/>
      <family val="2"/>
    </font>
    <font>
      <sz val="11"/>
      <color rgb="FF6B6B6B"/>
      <name val="Arial"/>
      <family val="2"/>
    </font>
    <font>
      <b/>
      <sz val="13"/>
      <color rgb="FFFFFFFF"/>
      <name val="Arial"/>
      <family val="2"/>
    </font>
    <font>
      <sz val="10.5"/>
      <color rgb="FF1A1A1A"/>
      <name val="Arial"/>
      <family val="2"/>
    </font>
    <font>
      <b/>
      <sz val="11"/>
      <color rgb="FFC6011F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0"/>
      <color rgb="FFFFFFFF"/>
      <name val="Arial"/>
      <family val="2"/>
    </font>
    <font>
      <b/>
      <sz val="9"/>
      <color rgb="FF6B6B6B"/>
      <name val="Arial"/>
      <family val="2"/>
    </font>
    <font>
      <b/>
      <sz val="10"/>
      <color rgb="FFC6011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6B6B6B"/>
      <name val="Arial"/>
      <family val="2"/>
    </font>
    <font>
      <sz val="10"/>
      <color rgb="FF0033CC"/>
      <name val="Arial"/>
      <family val="2"/>
    </font>
    <font>
      <i/>
      <sz val="9"/>
      <color rgb="FF1F7A3D"/>
      <name val="Arial"/>
      <family val="2"/>
    </font>
    <font>
      <sz val="10"/>
      <color rgb="FF6B6B6B"/>
      <name val="Arial"/>
      <family val="2"/>
    </font>
    <font>
      <i/>
      <sz val="9"/>
      <color rgb="FF1A1A1A"/>
      <name val="Arial"/>
      <family val="2"/>
    </font>
    <font>
      <b/>
      <sz val="16"/>
      <color rgb="FFC6011F"/>
      <name val="Arial"/>
      <family val="2"/>
    </font>
    <font>
      <i/>
      <sz val="10"/>
      <color rgb="FF6B6B6B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011F"/>
        <bgColor rgb="FF8A0014"/>
      </patternFill>
    </fill>
    <fill>
      <patternFill patternType="solid">
        <fgColor rgb="FFFFF4F2"/>
        <bgColor rgb="FFFFFFFF"/>
      </patternFill>
    </fill>
    <fill>
      <patternFill patternType="solid">
        <fgColor rgb="FFEFEFEF"/>
        <bgColor rgb="FFFFF4F2"/>
      </patternFill>
    </fill>
    <fill>
      <patternFill patternType="solid">
        <fgColor rgb="FFFFFFFF"/>
        <bgColor rgb="FFFFF4F2"/>
      </patternFill>
    </fill>
    <fill>
      <patternFill patternType="solid">
        <fgColor rgb="FF8A0014"/>
        <bgColor rgb="FF800000"/>
      </patternFill>
    </fill>
    <fill>
      <patternFill patternType="solid">
        <fgColor rgb="FFFFF6CC"/>
        <bgColor rgb="FFFFF4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4"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9" fontId="15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right" vertical="center"/>
    </xf>
    <xf numFmtId="166" fontId="7" fillId="7" borderId="1" xfId="0" applyNumberFormat="1" applyFont="1" applyFill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168" fontId="15" fillId="7" borderId="1" xfId="0" applyNumberFormat="1" applyFont="1" applyFill="1" applyBorder="1" applyAlignment="1">
      <alignment horizontal="right" vertical="center"/>
    </xf>
    <xf numFmtId="168" fontId="7" fillId="7" borderId="1" xfId="0" applyNumberFormat="1" applyFont="1" applyFill="1" applyBorder="1" applyAlignment="1">
      <alignment horizontal="right" vertical="center"/>
    </xf>
    <xf numFmtId="1" fontId="7" fillId="7" borderId="1" xfId="0" applyNumberFormat="1" applyFont="1" applyFill="1" applyBorder="1" applyAlignment="1">
      <alignment horizontal="right" vertical="center"/>
    </xf>
    <xf numFmtId="169" fontId="7" fillId="7" borderId="1" xfId="0" applyNumberFormat="1" applyFont="1" applyFill="1" applyBorder="1" applyAlignment="1">
      <alignment horizontal="right" vertical="center"/>
    </xf>
    <xf numFmtId="9" fontId="15" fillId="7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7" fillId="5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12" fillId="6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top" wrapText="1"/>
    </xf>
    <xf numFmtId="0" fontId="11" fillId="7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3" fillId="8" borderId="0" xfId="0" applyFont="1" applyFill="1" applyAlignment="1">
      <alignment horizontal="center" vertical="center" wrapText="1"/>
    </xf>
    <xf numFmtId="0" fontId="24" fillId="8" borderId="0" xfId="1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center"/>
    </xf>
    <xf numFmtId="0" fontId="23" fillId="8" borderId="0" xfId="0" applyFont="1" applyFill="1"/>
    <xf numFmtId="0" fontId="25" fillId="9" borderId="3" xfId="0" applyFont="1" applyFill="1" applyBorder="1" applyAlignment="1">
      <alignment horizontal="right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6011F"/>
      <rgbColor rgb="FF00FF00"/>
      <rgbColor rgb="FF0000FF"/>
      <rgbColor rgb="FFFFFF00"/>
      <rgbColor rgb="FFFF00FF"/>
      <rgbColor rgb="FF00FFFF"/>
      <rgbColor rgb="FF8A0014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4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0033CC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oom.com/share/12b042344c3e446e8470b3017a2261a2" TargetMode="External"/><Relationship Id="rId1" Type="http://schemas.openxmlformats.org/officeDocument/2006/relationships/hyperlink" Target="https://www.loom.com/share/cad9a236725a4147b8aa7ff61767dec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6"/>
  <sheetViews>
    <sheetView showGridLines="0" tabSelected="1" zoomScale="175" zoomScaleNormal="110" workbookViewId="0">
      <selection activeCell="B1" sqref="B1"/>
    </sheetView>
  </sheetViews>
  <sheetFormatPr baseColWidth="10" defaultColWidth="8.6640625" defaultRowHeight="15" x14ac:dyDescent="0.2"/>
  <cols>
    <col min="1" max="1" width="3" customWidth="1"/>
    <col min="2" max="2" width="39.6640625" customWidth="1"/>
    <col min="3" max="5" width="30" customWidth="1"/>
    <col min="6" max="6" width="3" customWidth="1"/>
  </cols>
  <sheetData>
    <row r="2" spans="2:5" ht="33.75" customHeight="1" x14ac:dyDescent="0.2">
      <c r="B2" s="37" t="s">
        <v>0</v>
      </c>
      <c r="C2" s="37"/>
      <c r="D2" s="37"/>
      <c r="E2" s="37"/>
    </row>
    <row r="3" spans="2:5" ht="19.5" customHeight="1" thickBot="1" x14ac:dyDescent="0.25">
      <c r="B3" s="38" t="s">
        <v>1</v>
      </c>
      <c r="C3" s="38"/>
      <c r="D3" s="38"/>
      <c r="E3" s="38"/>
    </row>
    <row r="4" spans="2:5" ht="19.5" customHeight="1" thickBot="1" x14ac:dyDescent="0.25">
      <c r="B4" s="61" t="s">
        <v>129</v>
      </c>
      <c r="C4" s="62"/>
      <c r="D4" s="62"/>
      <c r="E4" s="63"/>
    </row>
    <row r="5" spans="2:5" ht="19.5" customHeight="1" x14ac:dyDescent="0.2">
      <c r="B5" s="56" t="s">
        <v>124</v>
      </c>
      <c r="C5" s="57" t="s">
        <v>125</v>
      </c>
      <c r="D5" s="58"/>
      <c r="E5" s="58"/>
    </row>
    <row r="6" spans="2:5" ht="19.5" customHeight="1" x14ac:dyDescent="0.2">
      <c r="B6" s="56" t="s">
        <v>126</v>
      </c>
      <c r="C6" s="57" t="s">
        <v>127</v>
      </c>
      <c r="D6" s="57"/>
      <c r="E6" s="56"/>
    </row>
    <row r="7" spans="2:5" x14ac:dyDescent="0.2">
      <c r="B7" s="59" t="s">
        <v>128</v>
      </c>
      <c r="C7" s="59"/>
      <c r="D7" s="59"/>
      <c r="E7" s="60"/>
    </row>
    <row r="8" spans="2:5" ht="30" customHeight="1" x14ac:dyDescent="0.2">
      <c r="B8" s="34" t="s">
        <v>2</v>
      </c>
      <c r="C8" s="34"/>
      <c r="D8" s="34"/>
      <c r="E8" s="34"/>
    </row>
    <row r="9" spans="2:5" ht="24" customHeight="1" x14ac:dyDescent="0.2">
      <c r="B9" s="39" t="s">
        <v>3</v>
      </c>
      <c r="C9" s="39"/>
      <c r="D9" s="39"/>
      <c r="E9" s="39"/>
    </row>
    <row r="10" spans="2:5" x14ac:dyDescent="0.2">
      <c r="B10" s="39"/>
      <c r="C10" s="39"/>
      <c r="D10" s="39"/>
      <c r="E10" s="39"/>
    </row>
    <row r="11" spans="2:5" ht="30" customHeight="1" x14ac:dyDescent="0.2">
      <c r="B11" s="39"/>
      <c r="C11" s="39"/>
      <c r="D11" s="39"/>
      <c r="E11" s="39"/>
    </row>
    <row r="13" spans="2:5" ht="30" customHeight="1" x14ac:dyDescent="0.2">
      <c r="B13" s="34" t="s">
        <v>4</v>
      </c>
      <c r="C13" s="34"/>
      <c r="D13" s="34"/>
      <c r="E13" s="34"/>
    </row>
    <row r="14" spans="2:5" ht="45.75" customHeight="1" x14ac:dyDescent="0.2">
      <c r="B14" s="1" t="s">
        <v>5</v>
      </c>
      <c r="C14" s="36" t="s">
        <v>6</v>
      </c>
      <c r="D14" s="36"/>
      <c r="E14" s="36"/>
    </row>
    <row r="15" spans="2:5" ht="45.75" customHeight="1" x14ac:dyDescent="0.2">
      <c r="B15" s="1" t="s">
        <v>7</v>
      </c>
      <c r="C15" s="36" t="s">
        <v>8</v>
      </c>
      <c r="D15" s="36"/>
      <c r="E15" s="36"/>
    </row>
    <row r="16" spans="2:5" ht="45.75" customHeight="1" x14ac:dyDescent="0.2">
      <c r="B16" s="1" t="s">
        <v>9</v>
      </c>
      <c r="C16" s="36" t="s">
        <v>10</v>
      </c>
      <c r="D16" s="36"/>
      <c r="E16" s="36"/>
    </row>
    <row r="17" spans="2:5" ht="45.75" customHeight="1" x14ac:dyDescent="0.2">
      <c r="B17" s="1" t="s">
        <v>11</v>
      </c>
      <c r="C17" s="36" t="s">
        <v>12</v>
      </c>
      <c r="D17" s="36"/>
      <c r="E17" s="36"/>
    </row>
    <row r="19" spans="2:5" ht="30" customHeight="1" x14ac:dyDescent="0.2">
      <c r="B19" s="34" t="s">
        <v>13</v>
      </c>
      <c r="C19" s="34"/>
      <c r="D19" s="34"/>
      <c r="E19" s="34"/>
    </row>
    <row r="20" spans="2:5" x14ac:dyDescent="0.2">
      <c r="B20" s="2"/>
      <c r="C20" s="3" t="s">
        <v>14</v>
      </c>
      <c r="D20" s="3" t="s">
        <v>15</v>
      </c>
      <c r="E20" s="3" t="s">
        <v>16</v>
      </c>
    </row>
    <row r="21" spans="2:5" ht="30" customHeight="1" x14ac:dyDescent="0.2">
      <c r="B21" s="4" t="s">
        <v>17</v>
      </c>
      <c r="C21" s="5" t="s">
        <v>18</v>
      </c>
      <c r="D21" s="5" t="s">
        <v>19</v>
      </c>
      <c r="E21" s="5" t="s">
        <v>20</v>
      </c>
    </row>
    <row r="22" spans="2:5" ht="30" customHeight="1" x14ac:dyDescent="0.2">
      <c r="B22" s="4" t="s">
        <v>21</v>
      </c>
      <c r="C22" s="5" t="s">
        <v>22</v>
      </c>
      <c r="D22" s="5" t="s">
        <v>23</v>
      </c>
      <c r="E22" s="5" t="s">
        <v>24</v>
      </c>
    </row>
    <row r="23" spans="2:5" ht="30" customHeight="1" x14ac:dyDescent="0.2">
      <c r="B23" s="4" t="s">
        <v>25</v>
      </c>
      <c r="C23" s="5" t="s">
        <v>26</v>
      </c>
      <c r="D23" s="5" t="s">
        <v>27</v>
      </c>
      <c r="E23" s="5" t="s">
        <v>28</v>
      </c>
    </row>
    <row r="24" spans="2:5" ht="30" customHeight="1" x14ac:dyDescent="0.2">
      <c r="B24" s="4" t="s">
        <v>29</v>
      </c>
      <c r="C24" s="5" t="s">
        <v>30</v>
      </c>
      <c r="D24" s="5" t="s">
        <v>31</v>
      </c>
      <c r="E24" s="5" t="s">
        <v>32</v>
      </c>
    </row>
    <row r="26" spans="2:5" ht="15" customHeight="1" x14ac:dyDescent="0.2">
      <c r="B26" s="35" t="s">
        <v>33</v>
      </c>
      <c r="C26" s="35"/>
      <c r="D26" s="35"/>
      <c r="E26" s="35"/>
    </row>
  </sheetData>
  <mergeCells count="14">
    <mergeCell ref="B2:E2"/>
    <mergeCell ref="B3:E3"/>
    <mergeCell ref="B8:E8"/>
    <mergeCell ref="B9:E11"/>
    <mergeCell ref="B13:E13"/>
    <mergeCell ref="C5:E5"/>
    <mergeCell ref="C6:D6"/>
    <mergeCell ref="B7:D7"/>
    <mergeCell ref="B26:E26"/>
    <mergeCell ref="C14:E14"/>
    <mergeCell ref="C15:E15"/>
    <mergeCell ref="C16:E16"/>
    <mergeCell ref="C17:E17"/>
    <mergeCell ref="B19:E19"/>
  </mergeCells>
  <hyperlinks>
    <hyperlink ref="C5" r:id="rId1" xr:uid="{F2E79B53-C21F-3842-89C0-6F683B22E2F0}"/>
    <hyperlink ref="C6" r:id="rId2" xr:uid="{5A84B7C4-C6A8-B14C-A7F7-0EF3410CDE1F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topLeftCell="A16" zoomScale="150" zoomScaleNormal="110" workbookViewId="0">
      <selection activeCell="C23" sqref="C23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6" customWidth="1"/>
    <col min="4" max="4" width="3" customWidth="1"/>
    <col min="5" max="5" width="8" customWidth="1"/>
    <col min="6" max="6" width="12" customWidth="1"/>
  </cols>
  <sheetData>
    <row r="1" spans="1:6" ht="30" customHeight="1" x14ac:dyDescent="0.2">
      <c r="A1" s="34" t="s">
        <v>34</v>
      </c>
      <c r="B1" s="34"/>
      <c r="C1" s="34"/>
      <c r="D1" s="34"/>
      <c r="E1" s="34"/>
      <c r="F1" s="34"/>
    </row>
    <row r="2" spans="1:6" ht="18" customHeight="1" x14ac:dyDescent="0.2">
      <c r="A2" s="47" t="s">
        <v>35</v>
      </c>
      <c r="B2" s="47"/>
      <c r="C2" s="47"/>
    </row>
    <row r="4" spans="1:6" ht="21.75" customHeight="1" x14ac:dyDescent="0.2">
      <c r="A4" s="42" t="s">
        <v>36</v>
      </c>
      <c r="B4" s="42"/>
      <c r="C4" s="42"/>
      <c r="E4" s="6" t="s">
        <v>37</v>
      </c>
      <c r="F4" s="6" t="s">
        <v>38</v>
      </c>
    </row>
    <row r="5" spans="1:6" ht="15" customHeight="1" x14ac:dyDescent="0.2">
      <c r="A5" s="39" t="s">
        <v>39</v>
      </c>
      <c r="B5" s="39"/>
      <c r="C5" s="39"/>
      <c r="E5" s="7">
        <v>1</v>
      </c>
      <c r="F5" s="8">
        <v>42389</v>
      </c>
    </row>
    <row r="6" spans="1:6" x14ac:dyDescent="0.2">
      <c r="A6" s="39"/>
      <c r="B6" s="39"/>
      <c r="C6" s="39"/>
      <c r="E6" s="7">
        <v>2</v>
      </c>
      <c r="F6" s="8">
        <v>34006</v>
      </c>
    </row>
    <row r="7" spans="1:6" ht="35" customHeight="1" x14ac:dyDescent="0.2">
      <c r="A7" s="39"/>
      <c r="B7" s="39"/>
      <c r="C7" s="39"/>
      <c r="E7" s="7">
        <v>3</v>
      </c>
      <c r="F7" s="8">
        <v>31898</v>
      </c>
    </row>
    <row r="8" spans="1:6" x14ac:dyDescent="0.2">
      <c r="E8" s="7">
        <v>4</v>
      </c>
      <c r="F8" s="8">
        <v>19746</v>
      </c>
    </row>
    <row r="9" spans="1:6" ht="21.75" customHeight="1" x14ac:dyDescent="0.2">
      <c r="A9" s="42" t="s">
        <v>40</v>
      </c>
      <c r="B9" s="42"/>
      <c r="C9" s="42"/>
      <c r="E9" s="7">
        <v>5</v>
      </c>
      <c r="F9" s="8">
        <v>29580</v>
      </c>
    </row>
    <row r="10" spans="1:6" ht="15" customHeight="1" x14ac:dyDescent="0.2">
      <c r="A10" s="9" t="s">
        <v>41</v>
      </c>
      <c r="B10" s="45" t="s">
        <v>42</v>
      </c>
      <c r="C10" s="45"/>
      <c r="E10" s="7">
        <v>6</v>
      </c>
      <c r="F10" s="8">
        <v>29100</v>
      </c>
    </row>
    <row r="11" spans="1:6" ht="15" customHeight="1" x14ac:dyDescent="0.2">
      <c r="A11" s="9" t="s">
        <v>43</v>
      </c>
      <c r="B11" s="45" t="s">
        <v>44</v>
      </c>
      <c r="C11" s="45"/>
      <c r="E11" s="7">
        <v>7</v>
      </c>
      <c r="F11" s="8">
        <v>30787</v>
      </c>
    </row>
    <row r="12" spans="1:6" ht="15" customHeight="1" x14ac:dyDescent="0.2">
      <c r="A12" s="9" t="s">
        <v>45</v>
      </c>
      <c r="B12" s="46" t="s">
        <v>46</v>
      </c>
      <c r="C12" s="46"/>
      <c r="E12" s="7">
        <v>8</v>
      </c>
      <c r="F12" s="8">
        <v>27413</v>
      </c>
    </row>
    <row r="13" spans="1:6" x14ac:dyDescent="0.2">
      <c r="E13" s="7">
        <v>9</v>
      </c>
      <c r="F13" s="8">
        <v>31028</v>
      </c>
    </row>
    <row r="14" spans="1:6" ht="21.75" customHeight="1" x14ac:dyDescent="0.2">
      <c r="A14" s="42" t="s">
        <v>47</v>
      </c>
      <c r="B14" s="42"/>
      <c r="C14" s="42"/>
      <c r="E14" s="7">
        <v>10</v>
      </c>
      <c r="F14" s="8">
        <v>28341</v>
      </c>
    </row>
    <row r="15" spans="1:6" x14ac:dyDescent="0.2">
      <c r="A15" s="10" t="s">
        <v>48</v>
      </c>
      <c r="B15" s="8">
        <v>28000</v>
      </c>
      <c r="C15" s="11" t="s">
        <v>49</v>
      </c>
      <c r="E15" s="7">
        <v>11</v>
      </c>
      <c r="F15" s="8">
        <v>23154</v>
      </c>
    </row>
    <row r="16" spans="1:6" x14ac:dyDescent="0.2">
      <c r="A16" s="10" t="s">
        <v>50</v>
      </c>
      <c r="B16" s="12">
        <f>AVERAGE(F5:F39)</f>
        <v>30644.485714285714</v>
      </c>
      <c r="C16" s="11" t="s">
        <v>51</v>
      </c>
      <c r="E16" s="7">
        <v>12</v>
      </c>
      <c r="F16" s="8">
        <v>36785</v>
      </c>
    </row>
    <row r="17" spans="1:6" x14ac:dyDescent="0.2">
      <c r="A17" s="10" t="s">
        <v>52</v>
      </c>
      <c r="B17" s="13">
        <f>COUNT(F5:F39)</f>
        <v>35</v>
      </c>
      <c r="C17" s="11" t="s">
        <v>53</v>
      </c>
      <c r="E17" s="7">
        <v>13</v>
      </c>
      <c r="F17" s="8">
        <v>36764</v>
      </c>
    </row>
    <row r="18" spans="1:6" x14ac:dyDescent="0.2">
      <c r="A18" s="10" t="s">
        <v>54</v>
      </c>
      <c r="B18" s="8">
        <v>6500</v>
      </c>
      <c r="C18" s="11" t="s">
        <v>49</v>
      </c>
      <c r="E18" s="7">
        <v>14</v>
      </c>
      <c r="F18" s="8">
        <v>41899</v>
      </c>
    </row>
    <row r="19" spans="1:6" x14ac:dyDescent="0.2">
      <c r="A19" s="10" t="s">
        <v>55</v>
      </c>
      <c r="B19" s="12">
        <f>B18/SQRT(B17)</f>
        <v>1098.7005311470716</v>
      </c>
      <c r="C19" s="11" t="s">
        <v>56</v>
      </c>
      <c r="E19" s="7">
        <v>15</v>
      </c>
      <c r="F19" s="8">
        <v>31610</v>
      </c>
    </row>
    <row r="20" spans="1:6" x14ac:dyDescent="0.2">
      <c r="A20" s="10" t="s">
        <v>57</v>
      </c>
      <c r="B20" s="14">
        <v>0.05</v>
      </c>
      <c r="C20" s="11" t="s">
        <v>49</v>
      </c>
      <c r="E20" s="7">
        <v>16</v>
      </c>
      <c r="F20" s="8">
        <v>28791</v>
      </c>
    </row>
    <row r="21" spans="1:6" ht="21.75" customHeight="1" x14ac:dyDescent="0.2">
      <c r="A21" s="42" t="s">
        <v>58</v>
      </c>
      <c r="B21" s="42"/>
      <c r="C21" s="42"/>
      <c r="E21" s="7">
        <v>17</v>
      </c>
      <c r="F21" s="8">
        <v>27919</v>
      </c>
    </row>
    <row r="22" spans="1:6" x14ac:dyDescent="0.2">
      <c r="E22" s="7">
        <v>18</v>
      </c>
      <c r="F22" s="8">
        <v>21712</v>
      </c>
    </row>
    <row r="23" spans="1:6" x14ac:dyDescent="0.2">
      <c r="A23" s="10" t="s">
        <v>59</v>
      </c>
      <c r="B23" s="15">
        <f>B20</f>
        <v>0.05</v>
      </c>
      <c r="C23" s="11" t="s">
        <v>60</v>
      </c>
      <c r="E23" s="7">
        <v>19</v>
      </c>
      <c r="F23" s="8">
        <v>37391</v>
      </c>
    </row>
    <row r="24" spans="1:6" x14ac:dyDescent="0.2">
      <c r="A24" s="10" t="s">
        <v>61</v>
      </c>
      <c r="B24" s="16" t="s">
        <v>62</v>
      </c>
      <c r="C24" s="11" t="s">
        <v>63</v>
      </c>
      <c r="E24" s="7">
        <v>20</v>
      </c>
      <c r="F24" s="8">
        <v>24473</v>
      </c>
    </row>
    <row r="25" spans="1:6" x14ac:dyDescent="0.2">
      <c r="A25" s="10" t="s">
        <v>64</v>
      </c>
      <c r="B25" s="17">
        <f>_xlfn.NORM.S.INV(1-B23)</f>
        <v>1.6448536269514715</v>
      </c>
      <c r="C25" s="11" t="s">
        <v>65</v>
      </c>
      <c r="E25" s="7">
        <v>21</v>
      </c>
      <c r="F25" s="8">
        <v>23953</v>
      </c>
    </row>
    <row r="26" spans="1:6" x14ac:dyDescent="0.2">
      <c r="A26" s="10" t="s">
        <v>66</v>
      </c>
      <c r="B26" s="16" t="s">
        <v>62</v>
      </c>
      <c r="C26" s="11" t="s">
        <v>63</v>
      </c>
      <c r="E26" s="7">
        <v>22</v>
      </c>
      <c r="F26" s="8">
        <v>30025</v>
      </c>
    </row>
    <row r="27" spans="1:6" x14ac:dyDescent="0.2">
      <c r="A27" s="10" t="s">
        <v>67</v>
      </c>
      <c r="B27" s="12">
        <f>B25*B19+B15</f>
        <v>29807.20155359077</v>
      </c>
      <c r="C27" s="11" t="s">
        <v>68</v>
      </c>
      <c r="E27" s="7">
        <v>23</v>
      </c>
      <c r="F27" s="8">
        <v>40514</v>
      </c>
    </row>
    <row r="28" spans="1:6" ht="21.75" customHeight="1" x14ac:dyDescent="0.2">
      <c r="A28" s="42" t="s">
        <v>69</v>
      </c>
      <c r="B28" s="42"/>
      <c r="C28" s="42"/>
      <c r="E28" s="7">
        <v>24</v>
      </c>
      <c r="F28" s="8">
        <v>32768</v>
      </c>
    </row>
    <row r="29" spans="1:6" x14ac:dyDescent="0.2">
      <c r="E29" s="7">
        <v>25</v>
      </c>
      <c r="F29" s="8">
        <v>24953</v>
      </c>
    </row>
    <row r="30" spans="1:6" x14ac:dyDescent="0.2">
      <c r="A30" s="10" t="s">
        <v>50</v>
      </c>
      <c r="B30" s="12">
        <f>B16</f>
        <v>30644.485714285714</v>
      </c>
      <c r="C30" s="11" t="s">
        <v>70</v>
      </c>
      <c r="E30" s="7">
        <v>26</v>
      </c>
      <c r="F30" s="8">
        <v>26879</v>
      </c>
    </row>
    <row r="31" spans="1:6" x14ac:dyDescent="0.2">
      <c r="A31" s="10" t="s">
        <v>71</v>
      </c>
      <c r="B31" s="17">
        <f>(B30-B15)/B19</f>
        <v>2.4069213032279171</v>
      </c>
      <c r="C31" s="11" t="s">
        <v>72</v>
      </c>
      <c r="E31" s="7">
        <v>27</v>
      </c>
      <c r="F31" s="8">
        <v>35177</v>
      </c>
    </row>
    <row r="32" spans="1:6" x14ac:dyDescent="0.2">
      <c r="A32" s="10" t="s">
        <v>73</v>
      </c>
      <c r="B32" s="18">
        <f>1-_xlfn.NORM.S.DIST(B31,TRUE())</f>
        <v>8.0438180702098183E-3</v>
      </c>
      <c r="C32" s="11" t="s">
        <v>74</v>
      </c>
      <c r="E32" s="7">
        <v>28</v>
      </c>
      <c r="F32" s="8">
        <v>30305</v>
      </c>
    </row>
    <row r="33" spans="1:6" ht="21.75" customHeight="1" x14ac:dyDescent="0.2">
      <c r="A33" s="42" t="s">
        <v>75</v>
      </c>
      <c r="B33" s="42"/>
      <c r="C33" s="42"/>
      <c r="E33" s="7">
        <v>29</v>
      </c>
      <c r="F33" s="8">
        <v>26533</v>
      </c>
    </row>
    <row r="34" spans="1:6" x14ac:dyDescent="0.2">
      <c r="E34" s="7">
        <v>30</v>
      </c>
      <c r="F34" s="8">
        <v>29874</v>
      </c>
    </row>
    <row r="35" spans="1:6" x14ac:dyDescent="0.2">
      <c r="A35" s="10" t="s">
        <v>76</v>
      </c>
      <c r="B35" s="12">
        <f>_xlfn.NORM.S.INV(1-B20/2)*B19</f>
        <v>2153.4134708432875</v>
      </c>
      <c r="C35" s="11" t="s">
        <v>77</v>
      </c>
      <c r="E35" s="7">
        <v>31</v>
      </c>
      <c r="F35" s="8">
        <v>35919</v>
      </c>
    </row>
    <row r="36" spans="1:6" x14ac:dyDescent="0.2">
      <c r="A36" s="10" t="s">
        <v>78</v>
      </c>
      <c r="B36" s="12">
        <f>B30-B35</f>
        <v>28491.072243442428</v>
      </c>
      <c r="C36" s="11" t="s">
        <v>79</v>
      </c>
      <c r="E36" s="7">
        <v>32</v>
      </c>
      <c r="F36" s="8">
        <v>43552</v>
      </c>
    </row>
    <row r="37" spans="1:6" x14ac:dyDescent="0.2">
      <c r="A37" s="10" t="s">
        <v>80</v>
      </c>
      <c r="B37" s="12">
        <f>B30+B35</f>
        <v>32797.899185129005</v>
      </c>
      <c r="C37" s="11" t="s">
        <v>81</v>
      </c>
      <c r="E37" s="7">
        <v>33</v>
      </c>
      <c r="F37" s="8">
        <v>23586</v>
      </c>
    </row>
    <row r="38" spans="1:6" x14ac:dyDescent="0.2">
      <c r="E38" s="7">
        <v>34</v>
      </c>
      <c r="F38" s="8">
        <v>27416</v>
      </c>
    </row>
    <row r="39" spans="1:6" ht="21.75" customHeight="1" x14ac:dyDescent="0.2">
      <c r="A39" s="42" t="s">
        <v>82</v>
      </c>
      <c r="B39" s="42"/>
      <c r="C39" s="42"/>
      <c r="E39" s="7">
        <v>35</v>
      </c>
      <c r="F39" s="8">
        <v>26317</v>
      </c>
    </row>
    <row r="40" spans="1:6" x14ac:dyDescent="0.2">
      <c r="A40" s="19" t="s">
        <v>83</v>
      </c>
      <c r="B40" s="40" t="str">
        <f>"p = "&amp;TEXT(B32,"0.000%")&amp;"     vs     α = "&amp;TEXT(B20,"0.0%")&amp;"      →  p is "&amp;IF(B32&lt;B20,"LOW","HIGH")</f>
        <v>p = 0.804%     vs     α = 5.0%      →  p is LOW</v>
      </c>
      <c r="C40" s="40"/>
    </row>
    <row r="41" spans="1:6" x14ac:dyDescent="0.2">
      <c r="A41" s="9" t="s">
        <v>84</v>
      </c>
      <c r="B41" s="44" t="str">
        <f>IF(B32&lt;B20,"Reject H₀","Fail to reject H₀")</f>
        <v>Reject H₀</v>
      </c>
      <c r="C41" s="44"/>
    </row>
    <row r="44" spans="1:6" x14ac:dyDescent="0.2">
      <c r="A44" s="19" t="s">
        <v>85</v>
      </c>
      <c r="B44" s="40" t="str">
        <f>IF(B32&lt;B20,"Use Hₐ:  x̄ &gt; μ₀","Use H₀:  μ = μ₀")</f>
        <v>Use Hₐ:  x̄ &gt; μ₀</v>
      </c>
      <c r="C44" s="40"/>
    </row>
    <row r="45" spans="1:6" ht="30" customHeight="1" x14ac:dyDescent="0.2">
      <c r="A45" s="19" t="s">
        <v>86</v>
      </c>
      <c r="B45" s="41" t="str">
        <f>IF(B32&lt;B20,"Significant — Reds home attendance IS higher than the MLB average.","Not significant — no evidence Reds attendance beats the league.")</f>
        <v>Significant — Reds home attendance IS higher than the MLB average.</v>
      </c>
      <c r="C45" s="41"/>
    </row>
    <row r="46" spans="1:6" ht="21.75" customHeight="1" x14ac:dyDescent="0.2">
      <c r="A46" s="42" t="s">
        <v>87</v>
      </c>
      <c r="B46" s="42"/>
      <c r="C46" s="42"/>
    </row>
    <row r="47" spans="1:6" ht="30" customHeight="1" x14ac:dyDescent="0.2">
      <c r="A47" s="43" t="str">
        <f>"We are 95% confident the true mean home attendance for the Reds is between "&amp;TEXT(B36,"#,##0")&amp;" and "&amp;TEXT(B37,"#,##0")&amp;"."</f>
        <v>We are 95% confident the true mean home attendance for the Reds is between 28,491 and 32,798.</v>
      </c>
      <c r="B47" s="43"/>
      <c r="C47" s="43"/>
    </row>
  </sheetData>
  <mergeCells count="19">
    <mergeCell ref="A1:F1"/>
    <mergeCell ref="A2:C2"/>
    <mergeCell ref="A4:C4"/>
    <mergeCell ref="A5:C7"/>
    <mergeCell ref="A9:C9"/>
    <mergeCell ref="B10:C10"/>
    <mergeCell ref="B11:C11"/>
    <mergeCell ref="B12:C12"/>
    <mergeCell ref="A14:C14"/>
    <mergeCell ref="A21:C21"/>
    <mergeCell ref="B44:C44"/>
    <mergeCell ref="B45:C45"/>
    <mergeCell ref="A46:C46"/>
    <mergeCell ref="A47:C47"/>
    <mergeCell ref="A28:C28"/>
    <mergeCell ref="A33:C33"/>
    <mergeCell ref="A39:C39"/>
    <mergeCell ref="B40:C40"/>
    <mergeCell ref="B41:C4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showGridLines="0" topLeftCell="A17" zoomScale="183" zoomScaleNormal="110" workbookViewId="0">
      <selection activeCell="B23" sqref="B23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6" customWidth="1"/>
    <col min="4" max="4" width="3" customWidth="1"/>
    <col min="5" max="5" width="8" customWidth="1"/>
    <col min="6" max="6" width="12" customWidth="1"/>
  </cols>
  <sheetData>
    <row r="1" spans="1:6" ht="30" customHeight="1" x14ac:dyDescent="0.2">
      <c r="A1" s="34" t="s">
        <v>88</v>
      </c>
      <c r="B1" s="34"/>
      <c r="C1" s="34"/>
      <c r="D1" s="34"/>
      <c r="E1" s="34"/>
      <c r="F1" s="34"/>
    </row>
    <row r="2" spans="1:6" ht="18" customHeight="1" x14ac:dyDescent="0.2">
      <c r="A2" s="47" t="s">
        <v>89</v>
      </c>
      <c r="B2" s="47"/>
      <c r="C2" s="47"/>
    </row>
    <row r="4" spans="1:6" ht="21.75" customHeight="1" x14ac:dyDescent="0.2">
      <c r="A4" s="42" t="s">
        <v>36</v>
      </c>
      <c r="B4" s="42"/>
      <c r="C4" s="42"/>
      <c r="E4" s="6" t="s">
        <v>37</v>
      </c>
      <c r="F4" s="6" t="s">
        <v>90</v>
      </c>
    </row>
    <row r="5" spans="1:6" ht="15" customHeight="1" x14ac:dyDescent="0.2">
      <c r="A5" s="39" t="s">
        <v>91</v>
      </c>
      <c r="B5" s="39"/>
      <c r="C5" s="39"/>
      <c r="E5" s="7">
        <v>1</v>
      </c>
      <c r="F5" s="20">
        <v>127</v>
      </c>
    </row>
    <row r="6" spans="1:6" x14ac:dyDescent="0.2">
      <c r="A6" s="39"/>
      <c r="B6" s="39"/>
      <c r="C6" s="39"/>
      <c r="E6" s="7">
        <v>2</v>
      </c>
      <c r="F6" s="20">
        <v>153</v>
      </c>
    </row>
    <row r="7" spans="1:6" x14ac:dyDescent="0.2">
      <c r="A7" s="39"/>
      <c r="B7" s="39"/>
      <c r="C7" s="39"/>
      <c r="E7" s="7">
        <v>3</v>
      </c>
      <c r="F7" s="20">
        <v>124</v>
      </c>
    </row>
    <row r="8" spans="1:6" x14ac:dyDescent="0.2">
      <c r="E8" s="7">
        <v>4</v>
      </c>
      <c r="F8" s="20">
        <v>159</v>
      </c>
    </row>
    <row r="9" spans="1:6" ht="21.75" customHeight="1" x14ac:dyDescent="0.2">
      <c r="A9" s="42" t="s">
        <v>40</v>
      </c>
      <c r="B9" s="42"/>
      <c r="C9" s="42"/>
      <c r="E9" s="7">
        <v>5</v>
      </c>
      <c r="F9" s="20">
        <v>159</v>
      </c>
    </row>
    <row r="10" spans="1:6" ht="15" customHeight="1" x14ac:dyDescent="0.2">
      <c r="A10" s="9" t="s">
        <v>41</v>
      </c>
      <c r="B10" s="45" t="s">
        <v>92</v>
      </c>
      <c r="C10" s="45"/>
      <c r="E10" s="7">
        <v>6</v>
      </c>
      <c r="F10" s="20">
        <v>148</v>
      </c>
    </row>
    <row r="11" spans="1:6" ht="15" customHeight="1" x14ac:dyDescent="0.2">
      <c r="A11" s="9" t="s">
        <v>43</v>
      </c>
      <c r="B11" s="45" t="s">
        <v>93</v>
      </c>
      <c r="C11" s="45"/>
      <c r="E11" s="7">
        <v>7</v>
      </c>
      <c r="F11" s="20">
        <v>155</v>
      </c>
    </row>
    <row r="12" spans="1:6" ht="15" customHeight="1" x14ac:dyDescent="0.2">
      <c r="A12" s="9" t="s">
        <v>45</v>
      </c>
      <c r="B12" s="46" t="s">
        <v>94</v>
      </c>
      <c r="C12" s="46"/>
      <c r="E12" s="7">
        <v>8</v>
      </c>
      <c r="F12" s="20">
        <v>160</v>
      </c>
    </row>
    <row r="13" spans="1:6" x14ac:dyDescent="0.2">
      <c r="E13" s="7">
        <v>9</v>
      </c>
      <c r="F13" s="20">
        <v>170</v>
      </c>
    </row>
    <row r="14" spans="1:6" ht="21.75" customHeight="1" x14ac:dyDescent="0.2">
      <c r="A14" s="42" t="s">
        <v>47</v>
      </c>
      <c r="B14" s="42"/>
      <c r="C14" s="42"/>
      <c r="E14" s="7">
        <v>10</v>
      </c>
      <c r="F14" s="20">
        <v>148</v>
      </c>
    </row>
    <row r="15" spans="1:6" x14ac:dyDescent="0.2">
      <c r="A15" s="10" t="s">
        <v>48</v>
      </c>
      <c r="B15" s="20">
        <v>156</v>
      </c>
      <c r="C15" s="11" t="s">
        <v>49</v>
      </c>
      <c r="E15" s="7">
        <v>11</v>
      </c>
      <c r="F15" s="20">
        <v>183</v>
      </c>
    </row>
    <row r="16" spans="1:6" x14ac:dyDescent="0.2">
      <c r="A16" s="10" t="s">
        <v>50</v>
      </c>
      <c r="B16" s="21">
        <f>AVERAGE(F5:F44)</f>
        <v>154.47499999999999</v>
      </c>
      <c r="C16" s="11" t="s">
        <v>95</v>
      </c>
      <c r="E16" s="7">
        <v>12</v>
      </c>
      <c r="F16" s="20">
        <v>134</v>
      </c>
    </row>
    <row r="17" spans="1:6" x14ac:dyDescent="0.2">
      <c r="A17" s="10" t="s">
        <v>52</v>
      </c>
      <c r="B17" s="13">
        <f>COUNT(F5:F44)</f>
        <v>40</v>
      </c>
      <c r="C17" s="11" t="s">
        <v>96</v>
      </c>
      <c r="E17" s="7">
        <v>13</v>
      </c>
      <c r="F17" s="20">
        <v>183</v>
      </c>
    </row>
    <row r="18" spans="1:6" x14ac:dyDescent="0.2">
      <c r="A18" s="10" t="s">
        <v>54</v>
      </c>
      <c r="B18" s="20">
        <v>18</v>
      </c>
      <c r="C18" s="11" t="s">
        <v>49</v>
      </c>
      <c r="E18" s="7">
        <v>14</v>
      </c>
      <c r="F18" s="20">
        <v>121</v>
      </c>
    </row>
    <row r="19" spans="1:6" x14ac:dyDescent="0.2">
      <c r="A19" s="10" t="s">
        <v>55</v>
      </c>
      <c r="B19" s="17">
        <f>B18/SQRT(B17)</f>
        <v>2.8460498941515411</v>
      </c>
      <c r="C19" s="11" t="s">
        <v>56</v>
      </c>
      <c r="E19" s="7">
        <v>15</v>
      </c>
      <c r="F19" s="20">
        <v>146</v>
      </c>
    </row>
    <row r="20" spans="1:6" x14ac:dyDescent="0.2">
      <c r="A20" s="10" t="s">
        <v>57</v>
      </c>
      <c r="B20" s="14">
        <v>0.05</v>
      </c>
      <c r="C20" s="11" t="s">
        <v>49</v>
      </c>
      <c r="E20" s="7">
        <v>16</v>
      </c>
      <c r="F20" s="20">
        <v>178</v>
      </c>
    </row>
    <row r="21" spans="1:6" ht="21.75" customHeight="1" x14ac:dyDescent="0.2">
      <c r="A21" s="42" t="s">
        <v>58</v>
      </c>
      <c r="B21" s="42"/>
      <c r="C21" s="42"/>
      <c r="E21" s="7">
        <v>17</v>
      </c>
      <c r="F21" s="20">
        <v>159</v>
      </c>
    </row>
    <row r="22" spans="1:6" x14ac:dyDescent="0.2">
      <c r="E22" s="7">
        <v>18</v>
      </c>
      <c r="F22" s="20">
        <v>167</v>
      </c>
    </row>
    <row r="23" spans="1:6" x14ac:dyDescent="0.2">
      <c r="A23" s="10" t="s">
        <v>59</v>
      </c>
      <c r="B23" s="22"/>
      <c r="C23" s="11" t="s">
        <v>60</v>
      </c>
      <c r="E23" s="7">
        <v>19</v>
      </c>
      <c r="F23" s="20">
        <v>170</v>
      </c>
    </row>
    <row r="24" spans="1:6" x14ac:dyDescent="0.2">
      <c r="A24" s="10" t="s">
        <v>61</v>
      </c>
      <c r="B24" s="23"/>
      <c r="C24" s="11" t="s">
        <v>97</v>
      </c>
      <c r="E24" s="7">
        <v>20</v>
      </c>
      <c r="F24" s="20">
        <v>167</v>
      </c>
    </row>
    <row r="25" spans="1:6" x14ac:dyDescent="0.2">
      <c r="A25" s="10" t="s">
        <v>64</v>
      </c>
      <c r="B25" s="16" t="s">
        <v>62</v>
      </c>
      <c r="C25" s="11" t="s">
        <v>98</v>
      </c>
      <c r="E25" s="7">
        <v>21</v>
      </c>
      <c r="F25" s="20">
        <v>131</v>
      </c>
    </row>
    <row r="26" spans="1:6" x14ac:dyDescent="0.2">
      <c r="A26" s="10" t="s">
        <v>66</v>
      </c>
      <c r="B26" s="24"/>
      <c r="C26" s="11" t="s">
        <v>99</v>
      </c>
      <c r="E26" s="7">
        <v>22</v>
      </c>
      <c r="F26" s="20">
        <v>138</v>
      </c>
    </row>
    <row r="27" spans="1:6" x14ac:dyDescent="0.2">
      <c r="A27" s="10" t="s">
        <v>67</v>
      </c>
      <c r="B27" s="16" t="s">
        <v>62</v>
      </c>
      <c r="C27" s="11" t="s">
        <v>98</v>
      </c>
      <c r="E27" s="7">
        <v>23</v>
      </c>
      <c r="F27" s="20">
        <v>152</v>
      </c>
    </row>
    <row r="28" spans="1:6" ht="21.75" customHeight="1" x14ac:dyDescent="0.2">
      <c r="A28" s="42" t="s">
        <v>69</v>
      </c>
      <c r="B28" s="42"/>
      <c r="C28" s="42"/>
      <c r="E28" s="7">
        <v>24</v>
      </c>
      <c r="F28" s="20">
        <v>159</v>
      </c>
    </row>
    <row r="29" spans="1:6" x14ac:dyDescent="0.2">
      <c r="E29" s="7">
        <v>25</v>
      </c>
      <c r="F29" s="20">
        <v>160</v>
      </c>
    </row>
    <row r="30" spans="1:6" x14ac:dyDescent="0.2">
      <c r="A30" s="10" t="s">
        <v>50</v>
      </c>
      <c r="B30" s="24"/>
      <c r="C30" s="11" t="s">
        <v>70</v>
      </c>
      <c r="E30" s="7">
        <v>26</v>
      </c>
      <c r="F30" s="20">
        <v>151</v>
      </c>
    </row>
    <row r="31" spans="1:6" x14ac:dyDescent="0.2">
      <c r="A31" s="10" t="s">
        <v>71</v>
      </c>
      <c r="B31" s="23"/>
      <c r="C31" s="11" t="s">
        <v>72</v>
      </c>
      <c r="E31" s="7">
        <v>27</v>
      </c>
      <c r="F31" s="20">
        <v>148</v>
      </c>
    </row>
    <row r="32" spans="1:6" x14ac:dyDescent="0.2">
      <c r="A32" s="10" t="s">
        <v>73</v>
      </c>
      <c r="B32" s="25"/>
      <c r="C32" s="11" t="s">
        <v>100</v>
      </c>
      <c r="E32" s="7">
        <v>28</v>
      </c>
      <c r="F32" s="20">
        <v>179</v>
      </c>
    </row>
    <row r="33" spans="1:6" ht="21.75" customHeight="1" x14ac:dyDescent="0.2">
      <c r="A33" s="42" t="s">
        <v>75</v>
      </c>
      <c r="B33" s="42"/>
      <c r="C33" s="42"/>
      <c r="E33" s="7">
        <v>29</v>
      </c>
      <c r="F33" s="20">
        <v>158</v>
      </c>
    </row>
    <row r="34" spans="1:6" x14ac:dyDescent="0.2">
      <c r="E34" s="7">
        <v>30</v>
      </c>
      <c r="F34" s="20">
        <v>162</v>
      </c>
    </row>
    <row r="35" spans="1:6" x14ac:dyDescent="0.2">
      <c r="A35" s="10" t="s">
        <v>76</v>
      </c>
      <c r="B35" s="24"/>
      <c r="C35" s="11" t="s">
        <v>77</v>
      </c>
      <c r="E35" s="7">
        <v>31</v>
      </c>
      <c r="F35" s="20">
        <v>151</v>
      </c>
    </row>
    <row r="36" spans="1:6" x14ac:dyDescent="0.2">
      <c r="A36" s="10" t="s">
        <v>78</v>
      </c>
      <c r="B36" s="24"/>
      <c r="C36" s="11" t="s">
        <v>79</v>
      </c>
      <c r="E36" s="7">
        <v>32</v>
      </c>
      <c r="F36" s="20">
        <v>146</v>
      </c>
    </row>
    <row r="37" spans="1:6" x14ac:dyDescent="0.2">
      <c r="A37" s="10" t="s">
        <v>80</v>
      </c>
      <c r="B37" s="24"/>
      <c r="C37" s="11" t="s">
        <v>81</v>
      </c>
      <c r="E37" s="7">
        <v>33</v>
      </c>
      <c r="F37" s="20">
        <v>161</v>
      </c>
    </row>
    <row r="38" spans="1:6" x14ac:dyDescent="0.2">
      <c r="E38" s="7">
        <v>34</v>
      </c>
      <c r="F38" s="20">
        <v>172</v>
      </c>
    </row>
    <row r="39" spans="1:6" ht="21.75" customHeight="1" x14ac:dyDescent="0.2">
      <c r="A39" s="42" t="s">
        <v>82</v>
      </c>
      <c r="B39" s="42"/>
      <c r="C39" s="42"/>
      <c r="E39" s="7">
        <v>35</v>
      </c>
      <c r="F39" s="20">
        <v>175</v>
      </c>
    </row>
    <row r="40" spans="1:6" x14ac:dyDescent="0.2">
      <c r="A40" s="19" t="s">
        <v>83</v>
      </c>
      <c r="B40" s="48"/>
      <c r="C40" s="48"/>
      <c r="E40" s="7">
        <v>36</v>
      </c>
      <c r="F40" s="20">
        <v>162</v>
      </c>
    </row>
    <row r="41" spans="1:6" x14ac:dyDescent="0.2">
      <c r="A41" s="9" t="s">
        <v>84</v>
      </c>
      <c r="B41" s="51"/>
      <c r="C41" s="51"/>
      <c r="E41" s="7">
        <v>37</v>
      </c>
      <c r="F41" s="20">
        <v>132</v>
      </c>
    </row>
    <row r="42" spans="1:6" x14ac:dyDescent="0.2">
      <c r="E42" s="7">
        <v>38</v>
      </c>
      <c r="F42" s="20">
        <v>168</v>
      </c>
    </row>
    <row r="43" spans="1:6" x14ac:dyDescent="0.2">
      <c r="E43" s="7">
        <v>39</v>
      </c>
      <c r="F43" s="20">
        <v>128</v>
      </c>
    </row>
    <row r="44" spans="1:6" x14ac:dyDescent="0.2">
      <c r="A44" s="19" t="s">
        <v>85</v>
      </c>
      <c r="B44" s="48"/>
      <c r="C44" s="48"/>
      <c r="E44" s="7">
        <v>40</v>
      </c>
      <c r="F44" s="20">
        <v>135</v>
      </c>
    </row>
    <row r="45" spans="1:6" ht="30" customHeight="1" x14ac:dyDescent="0.2">
      <c r="A45" s="19" t="s">
        <v>86</v>
      </c>
      <c r="B45" s="49"/>
      <c r="C45" s="49"/>
    </row>
    <row r="46" spans="1:6" ht="21.75" customHeight="1" x14ac:dyDescent="0.2">
      <c r="A46" s="42" t="s">
        <v>87</v>
      </c>
      <c r="B46" s="42"/>
      <c r="C46" s="42"/>
    </row>
    <row r="47" spans="1:6" ht="30" customHeight="1" x14ac:dyDescent="0.2">
      <c r="A47" s="50"/>
      <c r="B47" s="50"/>
      <c r="C47" s="50"/>
    </row>
  </sheetData>
  <mergeCells count="19">
    <mergeCell ref="A1:F1"/>
    <mergeCell ref="A2:C2"/>
    <mergeCell ref="A4:C4"/>
    <mergeCell ref="A5:C7"/>
    <mergeCell ref="A9:C9"/>
    <mergeCell ref="B10:C10"/>
    <mergeCell ref="B11:C11"/>
    <mergeCell ref="B12:C12"/>
    <mergeCell ref="A14:C14"/>
    <mergeCell ref="A21:C21"/>
    <mergeCell ref="B44:C44"/>
    <mergeCell ref="B45:C45"/>
    <mergeCell ref="A46:C46"/>
    <mergeCell ref="A47:C47"/>
    <mergeCell ref="A28:C28"/>
    <mergeCell ref="A33:C33"/>
    <mergeCell ref="A39:C39"/>
    <mergeCell ref="B40:C40"/>
    <mergeCell ref="B41:C4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showGridLines="0" topLeftCell="A4" zoomScale="222" zoomScaleNormal="110" workbookViewId="0">
      <selection activeCell="A2" sqref="A2:C2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6" customWidth="1"/>
    <col min="4" max="4" width="3" customWidth="1"/>
    <col min="5" max="5" width="8" customWidth="1"/>
    <col min="6" max="6" width="12" customWidth="1"/>
  </cols>
  <sheetData>
    <row r="1" spans="1:6" ht="30" customHeight="1" x14ac:dyDescent="0.2">
      <c r="A1" s="34" t="s">
        <v>101</v>
      </c>
      <c r="B1" s="34"/>
      <c r="C1" s="34"/>
      <c r="D1" s="34"/>
      <c r="E1" s="34"/>
      <c r="F1" s="34"/>
    </row>
    <row r="2" spans="1:6" ht="18" customHeight="1" x14ac:dyDescent="0.2">
      <c r="A2" s="47" t="s">
        <v>123</v>
      </c>
      <c r="B2" s="47"/>
      <c r="C2" s="47"/>
      <c r="E2" s="52"/>
      <c r="F2" s="52"/>
    </row>
    <row r="3" spans="1:6" ht="39.75" customHeight="1" x14ac:dyDescent="0.2">
      <c r="E3" s="53"/>
      <c r="F3" s="53"/>
    </row>
    <row r="4" spans="1:6" ht="21.75" customHeight="1" x14ac:dyDescent="0.2">
      <c r="A4" s="42" t="s">
        <v>36</v>
      </c>
      <c r="B4" s="42"/>
      <c r="C4" s="42"/>
      <c r="E4" s="6" t="s">
        <v>102</v>
      </c>
      <c r="F4" s="6" t="s">
        <v>103</v>
      </c>
    </row>
    <row r="5" spans="1:6" ht="15" customHeight="1" x14ac:dyDescent="0.2">
      <c r="A5" s="39" t="s">
        <v>104</v>
      </c>
      <c r="B5" s="39"/>
      <c r="C5" s="39"/>
      <c r="E5" s="7">
        <v>1</v>
      </c>
      <c r="F5" s="26">
        <v>50.82</v>
      </c>
    </row>
    <row r="6" spans="1:6" x14ac:dyDescent="0.2">
      <c r="A6" s="39"/>
      <c r="B6" s="39"/>
      <c r="C6" s="39"/>
      <c r="E6" s="7">
        <v>2</v>
      </c>
      <c r="F6" s="26">
        <v>31.48</v>
      </c>
    </row>
    <row r="7" spans="1:6" x14ac:dyDescent="0.2">
      <c r="A7" s="39"/>
      <c r="B7" s="39"/>
      <c r="C7" s="39"/>
      <c r="E7" s="7">
        <v>3</v>
      </c>
      <c r="F7" s="26">
        <v>29.6</v>
      </c>
    </row>
    <row r="8" spans="1:6" x14ac:dyDescent="0.2">
      <c r="E8" s="7">
        <v>4</v>
      </c>
      <c r="F8" s="26">
        <v>8.99</v>
      </c>
    </row>
    <row r="9" spans="1:6" ht="21.75" customHeight="1" x14ac:dyDescent="0.2">
      <c r="A9" s="42" t="s">
        <v>40</v>
      </c>
      <c r="B9" s="42"/>
      <c r="C9" s="42"/>
      <c r="E9" s="7">
        <v>5</v>
      </c>
      <c r="F9" s="26">
        <v>34.119999999999997</v>
      </c>
    </row>
    <row r="10" spans="1:6" ht="15" customHeight="1" x14ac:dyDescent="0.2">
      <c r="A10" s="9" t="s">
        <v>41</v>
      </c>
      <c r="B10" s="45" t="s">
        <v>105</v>
      </c>
      <c r="C10" s="45"/>
      <c r="E10" s="7">
        <v>6</v>
      </c>
      <c r="F10" s="26">
        <v>31.16</v>
      </c>
    </row>
    <row r="11" spans="1:6" ht="15" customHeight="1" x14ac:dyDescent="0.2">
      <c r="A11" s="9" t="s">
        <v>43</v>
      </c>
      <c r="B11" s="45" t="s">
        <v>106</v>
      </c>
      <c r="C11" s="45"/>
      <c r="E11" s="7">
        <v>7</v>
      </c>
      <c r="F11" s="26">
        <v>29.1</v>
      </c>
    </row>
    <row r="12" spans="1:6" ht="15" customHeight="1" x14ac:dyDescent="0.2">
      <c r="A12" s="9" t="s">
        <v>45</v>
      </c>
      <c r="B12" s="46" t="s">
        <v>107</v>
      </c>
      <c r="C12" s="46"/>
      <c r="E12" s="7">
        <v>8</v>
      </c>
      <c r="F12" s="26">
        <v>37.200000000000003</v>
      </c>
    </row>
    <row r="13" spans="1:6" x14ac:dyDescent="0.2">
      <c r="E13" s="7">
        <v>9</v>
      </c>
      <c r="F13" s="26">
        <v>38.200000000000003</v>
      </c>
    </row>
    <row r="14" spans="1:6" ht="21.75" customHeight="1" x14ac:dyDescent="0.2">
      <c r="A14" s="42" t="s">
        <v>47</v>
      </c>
      <c r="B14" s="42"/>
      <c r="C14" s="42"/>
      <c r="E14" s="7">
        <v>10</v>
      </c>
      <c r="F14" s="26">
        <v>24.08</v>
      </c>
    </row>
    <row r="15" spans="1:6" x14ac:dyDescent="0.2">
      <c r="A15" s="10" t="s">
        <v>48</v>
      </c>
      <c r="B15" s="27"/>
      <c r="C15" s="11"/>
      <c r="E15" s="7">
        <v>11</v>
      </c>
      <c r="F15" s="26">
        <v>25.78</v>
      </c>
    </row>
    <row r="16" spans="1:6" x14ac:dyDescent="0.2">
      <c r="A16" s="10" t="s">
        <v>50</v>
      </c>
      <c r="B16" s="28"/>
      <c r="C16" s="11"/>
      <c r="E16" s="7">
        <v>12</v>
      </c>
      <c r="F16" s="26">
        <v>29.68</v>
      </c>
    </row>
    <row r="17" spans="1:6" x14ac:dyDescent="0.2">
      <c r="A17" s="10" t="s">
        <v>52</v>
      </c>
      <c r="B17" s="29"/>
      <c r="C17" s="11"/>
      <c r="E17" s="7">
        <v>13</v>
      </c>
      <c r="F17" s="26">
        <v>40.75</v>
      </c>
    </row>
    <row r="18" spans="1:6" x14ac:dyDescent="0.2">
      <c r="A18" s="10" t="s">
        <v>54</v>
      </c>
      <c r="B18" s="27"/>
      <c r="C18" s="11"/>
      <c r="E18" s="7">
        <v>14</v>
      </c>
      <c r="F18" s="26">
        <v>39.53</v>
      </c>
    </row>
    <row r="19" spans="1:6" x14ac:dyDescent="0.2">
      <c r="A19" s="10" t="s">
        <v>55</v>
      </c>
      <c r="B19" s="30"/>
      <c r="C19" s="11"/>
      <c r="E19" s="7">
        <v>15</v>
      </c>
      <c r="F19" s="26">
        <v>21.8</v>
      </c>
    </row>
    <row r="20" spans="1:6" x14ac:dyDescent="0.2">
      <c r="A20" s="10" t="s">
        <v>57</v>
      </c>
      <c r="B20" s="31"/>
      <c r="C20" s="11"/>
      <c r="E20" s="7">
        <v>16</v>
      </c>
      <c r="F20" s="26">
        <v>23.56</v>
      </c>
    </row>
    <row r="21" spans="1:6" ht="21.75" customHeight="1" x14ac:dyDescent="0.2">
      <c r="A21" s="42" t="s">
        <v>58</v>
      </c>
      <c r="B21" s="42"/>
      <c r="C21" s="42"/>
      <c r="E21" s="7">
        <v>17</v>
      </c>
      <c r="F21" s="26">
        <v>41.2</v>
      </c>
    </row>
    <row r="22" spans="1:6" x14ac:dyDescent="0.2">
      <c r="E22" s="7">
        <v>18</v>
      </c>
      <c r="F22" s="26">
        <v>49.16</v>
      </c>
    </row>
    <row r="23" spans="1:6" x14ac:dyDescent="0.2">
      <c r="A23" s="10" t="s">
        <v>59</v>
      </c>
      <c r="B23" s="22"/>
      <c r="C23" s="11"/>
      <c r="E23" s="7">
        <v>19</v>
      </c>
      <c r="F23" s="26">
        <v>33.9</v>
      </c>
    </row>
    <row r="24" spans="1:6" x14ac:dyDescent="0.2">
      <c r="A24" s="10" t="s">
        <v>61</v>
      </c>
      <c r="B24" s="23"/>
      <c r="C24" s="11"/>
      <c r="E24" s="7">
        <v>20</v>
      </c>
      <c r="F24" s="26">
        <v>27.71</v>
      </c>
    </row>
    <row r="25" spans="1:6" x14ac:dyDescent="0.2">
      <c r="A25" s="10" t="s">
        <v>64</v>
      </c>
      <c r="B25" s="23"/>
      <c r="C25" s="11"/>
      <c r="E25" s="7">
        <v>21</v>
      </c>
      <c r="F25" s="26">
        <v>44.61</v>
      </c>
    </row>
    <row r="26" spans="1:6" x14ac:dyDescent="0.2">
      <c r="A26" s="10" t="s">
        <v>66</v>
      </c>
      <c r="B26" s="28"/>
      <c r="C26" s="11"/>
      <c r="E26" s="7">
        <v>22</v>
      </c>
      <c r="F26" s="26">
        <v>31.26</v>
      </c>
    </row>
    <row r="27" spans="1:6" x14ac:dyDescent="0.2">
      <c r="A27" s="10" t="s">
        <v>67</v>
      </c>
      <c r="B27" s="28"/>
      <c r="C27" s="11"/>
      <c r="E27" s="7">
        <v>23</v>
      </c>
      <c r="F27" s="26">
        <v>41.09</v>
      </c>
    </row>
    <row r="28" spans="1:6" ht="21.75" customHeight="1" x14ac:dyDescent="0.2">
      <c r="A28" s="42" t="s">
        <v>69</v>
      </c>
      <c r="B28" s="42"/>
      <c r="C28" s="42"/>
      <c r="E28" s="7">
        <v>24</v>
      </c>
      <c r="F28" s="26">
        <v>48.92</v>
      </c>
    </row>
    <row r="29" spans="1:6" x14ac:dyDescent="0.2">
      <c r="E29" s="7">
        <v>25</v>
      </c>
      <c r="F29" s="26">
        <v>40.19</v>
      </c>
    </row>
    <row r="30" spans="1:6" x14ac:dyDescent="0.2">
      <c r="A30" s="10" t="s">
        <v>50</v>
      </c>
      <c r="B30" s="28"/>
      <c r="C30" s="11"/>
      <c r="E30" s="7">
        <v>26</v>
      </c>
      <c r="F30" s="26">
        <v>34.9</v>
      </c>
    </row>
    <row r="31" spans="1:6" x14ac:dyDescent="0.2">
      <c r="A31" s="10" t="s">
        <v>71</v>
      </c>
      <c r="B31" s="23"/>
      <c r="C31" s="11"/>
      <c r="E31" s="7">
        <v>27</v>
      </c>
      <c r="F31" s="26">
        <v>41.16</v>
      </c>
    </row>
    <row r="32" spans="1:6" x14ac:dyDescent="0.2">
      <c r="A32" s="10" t="s">
        <v>73</v>
      </c>
      <c r="B32" s="25"/>
      <c r="C32" s="11"/>
      <c r="E32" s="7">
        <v>28</v>
      </c>
      <c r="F32" s="26">
        <v>28.1</v>
      </c>
    </row>
    <row r="33" spans="1:6" ht="21.75" customHeight="1" x14ac:dyDescent="0.2">
      <c r="A33" s="42" t="s">
        <v>75</v>
      </c>
      <c r="B33" s="42"/>
      <c r="C33" s="42"/>
      <c r="E33" s="7">
        <v>29</v>
      </c>
      <c r="F33" s="26">
        <v>32.51</v>
      </c>
    </row>
    <row r="34" spans="1:6" x14ac:dyDescent="0.2">
      <c r="E34" s="7">
        <v>30</v>
      </c>
      <c r="F34" s="26">
        <v>28.75</v>
      </c>
    </row>
    <row r="35" spans="1:6" x14ac:dyDescent="0.2">
      <c r="A35" s="10" t="s">
        <v>76</v>
      </c>
      <c r="B35" s="28"/>
      <c r="C35" s="11"/>
      <c r="E35" s="7">
        <v>31</v>
      </c>
      <c r="F35" s="26">
        <v>32.26</v>
      </c>
    </row>
    <row r="36" spans="1:6" x14ac:dyDescent="0.2">
      <c r="A36" s="10" t="s">
        <v>78</v>
      </c>
      <c r="B36" s="28"/>
      <c r="C36" s="11"/>
      <c r="E36" s="7">
        <v>32</v>
      </c>
      <c r="F36" s="26">
        <v>29.58</v>
      </c>
    </row>
    <row r="37" spans="1:6" x14ac:dyDescent="0.2">
      <c r="A37" s="10" t="s">
        <v>80</v>
      </c>
      <c r="B37" s="28"/>
      <c r="C37" s="11"/>
      <c r="E37" s="7">
        <v>33</v>
      </c>
      <c r="F37" s="26">
        <v>32.44</v>
      </c>
    </row>
    <row r="38" spans="1:6" x14ac:dyDescent="0.2">
      <c r="E38" s="7">
        <v>34</v>
      </c>
      <c r="F38" s="26">
        <v>30.58</v>
      </c>
    </row>
    <row r="39" spans="1:6" ht="21.75" customHeight="1" x14ac:dyDescent="0.2">
      <c r="A39" s="42" t="s">
        <v>82</v>
      </c>
      <c r="B39" s="42"/>
      <c r="C39" s="42"/>
      <c r="E39" s="7">
        <v>35</v>
      </c>
      <c r="F39" s="26">
        <v>35.049999999999997</v>
      </c>
    </row>
    <row r="40" spans="1:6" x14ac:dyDescent="0.2">
      <c r="A40" s="19" t="s">
        <v>83</v>
      </c>
      <c r="B40" s="48"/>
      <c r="C40" s="48"/>
      <c r="E40" s="7">
        <v>36</v>
      </c>
      <c r="F40" s="26">
        <v>34.799999999999997</v>
      </c>
    </row>
    <row r="41" spans="1:6" x14ac:dyDescent="0.2">
      <c r="A41" s="9" t="s">
        <v>84</v>
      </c>
      <c r="B41" s="51"/>
      <c r="C41" s="51"/>
      <c r="E41" s="7">
        <v>37</v>
      </c>
      <c r="F41" s="26">
        <v>37.020000000000003</v>
      </c>
    </row>
    <row r="42" spans="1:6" x14ac:dyDescent="0.2">
      <c r="E42" s="7">
        <v>38</v>
      </c>
      <c r="F42" s="26">
        <v>47.53</v>
      </c>
    </row>
    <row r="43" spans="1:6" x14ac:dyDescent="0.2">
      <c r="E43" s="7">
        <v>39</v>
      </c>
      <c r="F43" s="26">
        <v>19.5</v>
      </c>
    </row>
    <row r="44" spans="1:6" x14ac:dyDescent="0.2">
      <c r="A44" s="19" t="s">
        <v>85</v>
      </c>
      <c r="B44" s="48"/>
      <c r="C44" s="48"/>
      <c r="E44" s="7">
        <v>40</v>
      </c>
      <c r="F44" s="26">
        <v>46.51</v>
      </c>
    </row>
    <row r="45" spans="1:6" ht="30" customHeight="1" x14ac:dyDescent="0.2">
      <c r="A45" s="19" t="s">
        <v>86</v>
      </c>
      <c r="B45" s="49"/>
      <c r="C45" s="49"/>
      <c r="E45" s="7">
        <v>41</v>
      </c>
      <c r="F45" s="26">
        <v>31.95</v>
      </c>
    </row>
    <row r="46" spans="1:6" ht="21.75" customHeight="1" x14ac:dyDescent="0.2">
      <c r="A46" s="42" t="s">
        <v>87</v>
      </c>
      <c r="B46" s="42"/>
      <c r="C46" s="42"/>
      <c r="E46" s="7">
        <v>42</v>
      </c>
      <c r="F46" s="26">
        <v>22.49</v>
      </c>
    </row>
    <row r="47" spans="1:6" ht="30" customHeight="1" x14ac:dyDescent="0.2">
      <c r="A47" s="50"/>
      <c r="B47" s="50"/>
      <c r="C47" s="50"/>
      <c r="E47" s="7">
        <v>43</v>
      </c>
      <c r="F47" s="26">
        <v>32.56</v>
      </c>
    </row>
    <row r="48" spans="1:6" x14ac:dyDescent="0.2">
      <c r="E48" s="7">
        <v>44</v>
      </c>
      <c r="F48" s="26">
        <v>35.07</v>
      </c>
    </row>
    <row r="49" spans="5:6" x14ac:dyDescent="0.2">
      <c r="E49" s="7">
        <v>45</v>
      </c>
      <c r="F49" s="26">
        <v>44.34</v>
      </c>
    </row>
  </sheetData>
  <mergeCells count="21">
    <mergeCell ref="A1:F1"/>
    <mergeCell ref="A2:C2"/>
    <mergeCell ref="E2:F2"/>
    <mergeCell ref="E3:F3"/>
    <mergeCell ref="A4:C4"/>
    <mergeCell ref="A5:C7"/>
    <mergeCell ref="A9:C9"/>
    <mergeCell ref="B10:C10"/>
    <mergeCell ref="B11:C11"/>
    <mergeCell ref="B12:C12"/>
    <mergeCell ref="A14:C14"/>
    <mergeCell ref="A21:C21"/>
    <mergeCell ref="A28:C28"/>
    <mergeCell ref="A33:C33"/>
    <mergeCell ref="A39:C39"/>
    <mergeCell ref="A47:C47"/>
    <mergeCell ref="B40:C40"/>
    <mergeCell ref="B41:C41"/>
    <mergeCell ref="B44:C44"/>
    <mergeCell ref="B45:C45"/>
    <mergeCell ref="A46:C4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9"/>
  <sheetViews>
    <sheetView showGridLines="0" topLeftCell="A5" zoomScale="110" zoomScaleNormal="110" workbookViewId="0"/>
  </sheetViews>
  <sheetFormatPr baseColWidth="10" defaultColWidth="8.6640625" defaultRowHeight="15" x14ac:dyDescent="0.2"/>
  <cols>
    <col min="1" max="1" width="3" customWidth="1"/>
    <col min="2" max="3" width="46" customWidth="1"/>
    <col min="4" max="4" width="3" customWidth="1"/>
  </cols>
  <sheetData>
    <row r="2" spans="2:3" ht="30" customHeight="1" x14ac:dyDescent="0.2">
      <c r="B2" s="54" t="s">
        <v>108</v>
      </c>
      <c r="C2" s="54"/>
    </row>
    <row r="3" spans="2:3" ht="15" customHeight="1" x14ac:dyDescent="0.2">
      <c r="B3" s="55" t="s">
        <v>109</v>
      </c>
      <c r="C3" s="55"/>
    </row>
    <row r="5" spans="2:3" ht="30" customHeight="1" x14ac:dyDescent="0.2">
      <c r="B5" s="34" t="s">
        <v>110</v>
      </c>
      <c r="C5" s="34"/>
    </row>
    <row r="6" spans="2:3" ht="42" customHeight="1" x14ac:dyDescent="0.2">
      <c r="B6" s="32" t="s">
        <v>111</v>
      </c>
      <c r="C6" s="33"/>
    </row>
    <row r="7" spans="2:3" ht="42" customHeight="1" x14ac:dyDescent="0.2">
      <c r="B7" s="32" t="s">
        <v>112</v>
      </c>
      <c r="C7" s="33"/>
    </row>
    <row r="8" spans="2:3" ht="42" customHeight="1" x14ac:dyDescent="0.2">
      <c r="B8" s="32" t="s">
        <v>113</v>
      </c>
      <c r="C8" s="33"/>
    </row>
    <row r="10" spans="2:3" ht="30" customHeight="1" x14ac:dyDescent="0.2">
      <c r="B10" s="34" t="s">
        <v>114</v>
      </c>
      <c r="C10" s="34"/>
    </row>
    <row r="11" spans="2:3" ht="42" customHeight="1" x14ac:dyDescent="0.2">
      <c r="B11" s="32" t="s">
        <v>115</v>
      </c>
      <c r="C11" s="33"/>
    </row>
    <row r="12" spans="2:3" ht="42" customHeight="1" x14ac:dyDescent="0.2">
      <c r="B12" s="32" t="s">
        <v>116</v>
      </c>
      <c r="C12" s="33"/>
    </row>
    <row r="13" spans="2:3" ht="42" customHeight="1" x14ac:dyDescent="0.2">
      <c r="B13" s="32" t="s">
        <v>117</v>
      </c>
      <c r="C13" s="33"/>
    </row>
    <row r="14" spans="2:3" ht="42" customHeight="1" x14ac:dyDescent="0.2">
      <c r="B14" s="32" t="s">
        <v>118</v>
      </c>
      <c r="C14" s="33"/>
    </row>
    <row r="16" spans="2:3" ht="30" customHeight="1" x14ac:dyDescent="0.2">
      <c r="B16" s="34" t="s">
        <v>119</v>
      </c>
      <c r="C16" s="34"/>
    </row>
    <row r="17" spans="2:3" ht="42" customHeight="1" x14ac:dyDescent="0.2">
      <c r="B17" s="32" t="s">
        <v>120</v>
      </c>
      <c r="C17" s="33"/>
    </row>
    <row r="18" spans="2:3" ht="42" customHeight="1" x14ac:dyDescent="0.2">
      <c r="B18" s="32" t="s">
        <v>121</v>
      </c>
      <c r="C18" s="33"/>
    </row>
    <row r="19" spans="2:3" ht="42" customHeight="1" x14ac:dyDescent="0.2">
      <c r="B19" s="32" t="s">
        <v>122</v>
      </c>
      <c r="C19" s="33"/>
    </row>
  </sheetData>
  <mergeCells count="5">
    <mergeCell ref="B2:C2"/>
    <mergeCell ref="B3:C3"/>
    <mergeCell ref="B5:C5"/>
    <mergeCell ref="B10:C10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1. Attendance (Right)</vt:lpstr>
      <vt:lpstr>2. Game Time (Left)</vt:lpstr>
      <vt:lpstr>3. Ticket Price (Two)</vt:lpstr>
      <vt:lpstr>Reflect &amp; Apply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Penwell, Tasha</cp:lastModifiedBy>
  <cp:revision>0</cp:revision>
  <dcterms:created xsi:type="dcterms:W3CDTF">2026-06-08T15:27:13Z</dcterms:created>
  <dcterms:modified xsi:type="dcterms:W3CDTF">2026-06-08T17:18:33Z</dcterms:modified>
  <dc:language>en-US</dc:language>
</cp:coreProperties>
</file>